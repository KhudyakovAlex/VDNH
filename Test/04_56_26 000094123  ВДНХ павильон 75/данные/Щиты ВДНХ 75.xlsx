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00 AWADA Проекты и КП\Проекты\2026\04 Апрель\04_56_26 000094123 Строительство и реконструкция конгрессно-выставочного центра на территории ВДНХ\КП\Повильон 75\"/>
    </mc:Choice>
  </mc:AlternateContent>
  <xr:revisionPtr revIDLastSave="0" documentId="13_ncr:1_{95472956-2339-454B-BFD6-14FBFE571B6C}" xr6:coauthVersionLast="47" xr6:coauthVersionMax="47" xr10:uidLastSave="{00000000-0000-0000-0000-000000000000}"/>
  <bookViews>
    <workbookView xWindow="6300" yWindow="285" windowWidth="19800" windowHeight="15585" xr2:uid="{127C239E-055A-4CAA-A844-3E5B48B76615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2" i="1" l="1"/>
  <c r="D162" i="1"/>
  <c r="E162" i="1"/>
  <c r="B162" i="1"/>
  <c r="E159" i="1"/>
  <c r="C159" i="1"/>
  <c r="E115" i="1"/>
  <c r="C115" i="1"/>
  <c r="B115" i="1"/>
  <c r="B159" i="1" l="1"/>
  <c r="E127" i="1"/>
  <c r="E35" i="1"/>
  <c r="E75" i="1"/>
  <c r="E59" i="1"/>
  <c r="E19" i="1"/>
  <c r="B127" i="1"/>
  <c r="C127" i="1"/>
  <c r="B75" i="1"/>
  <c r="C75" i="1"/>
  <c r="C59" i="1"/>
  <c r="B59" i="1"/>
  <c r="C35" i="1"/>
  <c r="B35" i="1"/>
  <c r="B19" i="1"/>
  <c r="C19" i="1"/>
</calcChain>
</file>

<file path=xl/sharedStrings.xml><?xml version="1.0" encoding="utf-8"?>
<sst xmlns="http://schemas.openxmlformats.org/spreadsheetml/2006/main" count="169" uniqueCount="83">
  <si>
    <t>номер линии</t>
  </si>
  <si>
    <t>светильники</t>
  </si>
  <si>
    <t>датчики</t>
  </si>
  <si>
    <t>1.1</t>
  </si>
  <si>
    <t>1.2</t>
  </si>
  <si>
    <t>1.3</t>
  </si>
  <si>
    <t>1.4</t>
  </si>
  <si>
    <t>2.1</t>
  </si>
  <si>
    <t>2.2</t>
  </si>
  <si>
    <t>2.3</t>
  </si>
  <si>
    <t>2.4</t>
  </si>
  <si>
    <t>3.1</t>
  </si>
  <si>
    <t>3.2</t>
  </si>
  <si>
    <t>3.3</t>
  </si>
  <si>
    <t>3.4</t>
  </si>
  <si>
    <t>4.1</t>
  </si>
  <si>
    <t>4.2</t>
  </si>
  <si>
    <t>4.3</t>
  </si>
  <si>
    <t>4.4</t>
  </si>
  <si>
    <t>резерв</t>
  </si>
  <si>
    <t>5.1</t>
  </si>
  <si>
    <t>5.2</t>
  </si>
  <si>
    <t>5.3</t>
  </si>
  <si>
    <t>5.4</t>
  </si>
  <si>
    <t>6.1</t>
  </si>
  <si>
    <t>6.2</t>
  </si>
  <si>
    <t>6.3</t>
  </si>
  <si>
    <t>6.4</t>
  </si>
  <si>
    <t>7.1</t>
  </si>
  <si>
    <t>7.2</t>
  </si>
  <si>
    <t>7.3</t>
  </si>
  <si>
    <t>7.4</t>
  </si>
  <si>
    <t>Контроллер</t>
  </si>
  <si>
    <t>Модуль</t>
  </si>
  <si>
    <t>ЩД-0.1С.7.5</t>
  </si>
  <si>
    <t>ЩД-0.1С.7.4</t>
  </si>
  <si>
    <t>ЩД-1А.5.9</t>
  </si>
  <si>
    <t>ЩД-1В.5.3</t>
  </si>
  <si>
    <t>ЩД-1С.10.4</t>
  </si>
  <si>
    <t>4.5</t>
  </si>
  <si>
    <t>6.5</t>
  </si>
  <si>
    <t>8.1</t>
  </si>
  <si>
    <t>8.2</t>
  </si>
  <si>
    <t>8.3</t>
  </si>
  <si>
    <t>8.4</t>
  </si>
  <si>
    <t>9.1</t>
  </si>
  <si>
    <t>9.2</t>
  </si>
  <si>
    <t>9.3</t>
  </si>
  <si>
    <t>9.4</t>
  </si>
  <si>
    <t>10.1</t>
  </si>
  <si>
    <t>10.2</t>
  </si>
  <si>
    <t>10.3</t>
  </si>
  <si>
    <t>10.4</t>
  </si>
  <si>
    <t>11.1</t>
  </si>
  <si>
    <t>11.2</t>
  </si>
  <si>
    <t>11.3</t>
  </si>
  <si>
    <t>11.4</t>
  </si>
  <si>
    <t>12.1</t>
  </si>
  <si>
    <t>12.2</t>
  </si>
  <si>
    <t>12.3</t>
  </si>
  <si>
    <t>12.4</t>
  </si>
  <si>
    <t>13.1</t>
  </si>
  <si>
    <t>13.2</t>
  </si>
  <si>
    <t>13.3</t>
  </si>
  <si>
    <t>13.4</t>
  </si>
  <si>
    <t>14.1</t>
  </si>
  <si>
    <t>14.2</t>
  </si>
  <si>
    <t>14.3</t>
  </si>
  <si>
    <t>14.4</t>
  </si>
  <si>
    <t>15.1</t>
  </si>
  <si>
    <t>15.2</t>
  </si>
  <si>
    <t>ЩД-2А.4.9</t>
  </si>
  <si>
    <t>ЩД-2С.7.6</t>
  </si>
  <si>
    <t>7.5</t>
  </si>
  <si>
    <t>Количество линий</t>
  </si>
  <si>
    <t>Количество свет.</t>
  </si>
  <si>
    <t>Кол-во датчиков</t>
  </si>
  <si>
    <t>Контроллеры</t>
  </si>
  <si>
    <t>Модули</t>
  </si>
  <si>
    <t>Допом по спецификации от СЭ</t>
  </si>
  <si>
    <t>DA2-301</t>
  </si>
  <si>
    <t>SP-01S</t>
  </si>
  <si>
    <t>DA2-REP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</si>
</sst>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9718-4D37-4F20-B9EF-CBD152C99DE0}">
  <dimension ref="A1:E167"/>
  <sheetViews>
    <sheetView tabSelected="1" topLeftCell="A142" zoomScaleNormal="100" workbookViewId="0">
      <selection activeCell="D173" sqref="D173"/>
    </sheetView>
  </sheetViews>
  <sheetFormatPr defaultRowHeight="15" x14ac:dyDescent="0.25"/>
  <cols>
    <col min="1" max="1" width="20.140625" style="2" customWidth="1"/>
    <col min="2" max="2" width="20.85546875" style="1" customWidth="1"/>
    <col min="3" max="3" width="17" style="1" customWidth="1"/>
    <col min="4" max="4" width="16.140625" style="1" customWidth="1"/>
    <col min="5" max="16384" width="9.140625" style="1"/>
  </cols>
  <sheetData>
    <row r="1" spans="1:5" ht="15.75" x14ac:dyDescent="0.25">
      <c r="A1" s="14" t="s">
        <v>34</v>
      </c>
      <c r="B1" s="14"/>
      <c r="C1" s="14"/>
      <c r="D1" s="14"/>
      <c r="E1" s="14"/>
    </row>
    <row r="2" spans="1:5" ht="15.75" x14ac:dyDescent="0.25">
      <c r="A2" s="4" t="s">
        <v>0</v>
      </c>
      <c r="B2" s="5" t="s">
        <v>1</v>
      </c>
      <c r="C2" s="5" t="s">
        <v>2</v>
      </c>
      <c r="D2" s="3" t="s">
        <v>32</v>
      </c>
      <c r="E2" s="3" t="s">
        <v>33</v>
      </c>
    </row>
    <row r="3" spans="1:5" ht="15.75" x14ac:dyDescent="0.25">
      <c r="A3" s="6" t="s">
        <v>3</v>
      </c>
      <c r="B3" s="5">
        <v>23</v>
      </c>
      <c r="C3" s="5">
        <v>3</v>
      </c>
      <c r="D3" s="18">
        <v>1</v>
      </c>
      <c r="E3" s="18">
        <v>1</v>
      </c>
    </row>
    <row r="4" spans="1:5" ht="15.75" x14ac:dyDescent="0.25">
      <c r="A4" s="6" t="s">
        <v>4</v>
      </c>
      <c r="B4" s="5">
        <v>32</v>
      </c>
      <c r="C4" s="5">
        <v>5</v>
      </c>
      <c r="D4" s="18"/>
      <c r="E4" s="18"/>
    </row>
    <row r="5" spans="1:5" ht="15.75" x14ac:dyDescent="0.25">
      <c r="A5" s="6" t="s">
        <v>5</v>
      </c>
      <c r="B5" s="5">
        <v>38</v>
      </c>
      <c r="C5" s="5">
        <v>4</v>
      </c>
      <c r="D5" s="18"/>
      <c r="E5" s="18"/>
    </row>
    <row r="6" spans="1:5" ht="15.75" x14ac:dyDescent="0.25">
      <c r="A6" s="6" t="s">
        <v>6</v>
      </c>
      <c r="B6" s="5">
        <v>57</v>
      </c>
      <c r="C6" s="5">
        <v>2</v>
      </c>
      <c r="D6" s="18"/>
      <c r="E6" s="18"/>
    </row>
    <row r="7" spans="1:5" ht="15.75" x14ac:dyDescent="0.25">
      <c r="A7" s="6" t="s">
        <v>7</v>
      </c>
      <c r="B7" s="5">
        <v>51</v>
      </c>
      <c r="C7" s="5">
        <v>2</v>
      </c>
      <c r="D7" s="18"/>
      <c r="E7" s="18"/>
    </row>
    <row r="8" spans="1:5" ht="15.75" x14ac:dyDescent="0.25">
      <c r="A8" s="6" t="s">
        <v>8</v>
      </c>
      <c r="B8" s="5">
        <v>52</v>
      </c>
      <c r="C8" s="5">
        <v>3</v>
      </c>
      <c r="D8" s="18"/>
      <c r="E8" s="18"/>
    </row>
    <row r="9" spans="1:5" ht="15.75" x14ac:dyDescent="0.25">
      <c r="A9" s="6" t="s">
        <v>9</v>
      </c>
      <c r="B9" s="5">
        <v>52</v>
      </c>
      <c r="C9" s="5">
        <v>2</v>
      </c>
      <c r="D9" s="18"/>
      <c r="E9" s="18"/>
    </row>
    <row r="10" spans="1:5" ht="15.75" x14ac:dyDescent="0.25">
      <c r="A10" s="6" t="s">
        <v>10</v>
      </c>
      <c r="B10" s="5">
        <v>57</v>
      </c>
      <c r="C10" s="5">
        <v>2</v>
      </c>
      <c r="D10" s="18"/>
      <c r="E10" s="18"/>
    </row>
    <row r="11" spans="1:5" ht="15.75" x14ac:dyDescent="0.25">
      <c r="A11" s="6" t="s">
        <v>11</v>
      </c>
      <c r="B11" s="5">
        <v>56</v>
      </c>
      <c r="C11" s="5">
        <v>2</v>
      </c>
      <c r="D11" s="18"/>
      <c r="E11" s="18">
        <v>1</v>
      </c>
    </row>
    <row r="12" spans="1:5" ht="15.75" x14ac:dyDescent="0.25">
      <c r="A12" s="6" t="s">
        <v>12</v>
      </c>
      <c r="B12" s="5">
        <v>54</v>
      </c>
      <c r="C12" s="5">
        <v>2</v>
      </c>
      <c r="D12" s="18"/>
      <c r="E12" s="18"/>
    </row>
    <row r="13" spans="1:5" ht="15.75" x14ac:dyDescent="0.25">
      <c r="A13" s="6" t="s">
        <v>13</v>
      </c>
      <c r="B13" s="5">
        <v>55</v>
      </c>
      <c r="C13" s="5">
        <v>2</v>
      </c>
      <c r="D13" s="18"/>
      <c r="E13" s="18"/>
    </row>
    <row r="14" spans="1:5" ht="15.75" x14ac:dyDescent="0.25">
      <c r="A14" s="6" t="s">
        <v>14</v>
      </c>
      <c r="B14" s="5" t="s">
        <v>19</v>
      </c>
      <c r="C14" s="5">
        <v>0</v>
      </c>
      <c r="D14" s="18"/>
      <c r="E14" s="18"/>
    </row>
    <row r="15" spans="1:5" ht="15.75" x14ac:dyDescent="0.25">
      <c r="A15" s="6"/>
      <c r="B15" s="5"/>
      <c r="C15" s="5"/>
      <c r="D15" s="18"/>
      <c r="E15" s="18"/>
    </row>
    <row r="16" spans="1:5" ht="15.75" x14ac:dyDescent="0.25">
      <c r="A16" s="6"/>
      <c r="B16" s="5"/>
      <c r="C16" s="5"/>
      <c r="D16" s="18"/>
      <c r="E16" s="18"/>
    </row>
    <row r="17" spans="1:5" ht="15.75" x14ac:dyDescent="0.25">
      <c r="A17" s="6"/>
      <c r="B17" s="5"/>
      <c r="C17" s="5"/>
      <c r="D17" s="18"/>
      <c r="E17" s="18"/>
    </row>
    <row r="18" spans="1:5" ht="15.75" x14ac:dyDescent="0.25">
      <c r="A18" s="6"/>
      <c r="B18" s="5"/>
      <c r="C18" s="5"/>
      <c r="D18" s="18"/>
      <c r="E18" s="18"/>
    </row>
    <row r="19" spans="1:5" x14ac:dyDescent="0.25">
      <c r="A19" s="8"/>
      <c r="B19" s="9">
        <f>SUM(B3:B18)</f>
        <v>527</v>
      </c>
      <c r="C19" s="9">
        <f>SUM(C3:C18)</f>
        <v>29</v>
      </c>
      <c r="D19" s="9">
        <v>1</v>
      </c>
      <c r="E19" s="9">
        <f>SUM(E3:E18)</f>
        <v>2</v>
      </c>
    </row>
    <row r="21" spans="1:5" ht="15.75" x14ac:dyDescent="0.25">
      <c r="A21" s="14" t="s">
        <v>35</v>
      </c>
      <c r="B21" s="14"/>
      <c r="C21" s="14"/>
      <c r="D21" s="14"/>
      <c r="E21" s="14"/>
    </row>
    <row r="22" spans="1:5" ht="15.75" x14ac:dyDescent="0.25">
      <c r="A22" s="4" t="s">
        <v>0</v>
      </c>
      <c r="B22" s="5" t="s">
        <v>1</v>
      </c>
      <c r="C22" s="5" t="s">
        <v>2</v>
      </c>
      <c r="D22" s="3" t="s">
        <v>32</v>
      </c>
      <c r="E22" s="3" t="s">
        <v>33</v>
      </c>
    </row>
    <row r="23" spans="1:5" ht="15.75" x14ac:dyDescent="0.25">
      <c r="A23" s="6" t="s">
        <v>15</v>
      </c>
      <c r="B23" s="5">
        <v>53</v>
      </c>
      <c r="C23" s="5">
        <v>2</v>
      </c>
      <c r="D23" s="18">
        <v>1</v>
      </c>
      <c r="E23" s="18">
        <v>1</v>
      </c>
    </row>
    <row r="24" spans="1:5" ht="15.75" x14ac:dyDescent="0.25">
      <c r="A24" s="6" t="s">
        <v>16</v>
      </c>
      <c r="B24" s="5">
        <v>52</v>
      </c>
      <c r="C24" s="5">
        <v>2</v>
      </c>
      <c r="D24" s="18"/>
      <c r="E24" s="18"/>
    </row>
    <row r="25" spans="1:5" ht="15.75" x14ac:dyDescent="0.25">
      <c r="A25" s="6" t="s">
        <v>17</v>
      </c>
      <c r="B25" s="5">
        <v>48</v>
      </c>
      <c r="C25" s="5">
        <v>2</v>
      </c>
      <c r="D25" s="18"/>
      <c r="E25" s="18"/>
    </row>
    <row r="26" spans="1:5" ht="15.75" x14ac:dyDescent="0.25">
      <c r="A26" s="6" t="s">
        <v>18</v>
      </c>
      <c r="B26" s="5">
        <v>56</v>
      </c>
      <c r="C26" s="5">
        <v>2</v>
      </c>
      <c r="D26" s="18"/>
      <c r="E26" s="18"/>
    </row>
    <row r="27" spans="1:5" ht="15.75" x14ac:dyDescent="0.25">
      <c r="A27" s="6" t="s">
        <v>20</v>
      </c>
      <c r="B27" s="5">
        <v>50</v>
      </c>
      <c r="C27" s="5">
        <v>3</v>
      </c>
      <c r="D27" s="18"/>
      <c r="E27" s="18"/>
    </row>
    <row r="28" spans="1:5" ht="15.75" x14ac:dyDescent="0.25">
      <c r="A28" s="6" t="s">
        <v>21</v>
      </c>
      <c r="B28" s="5">
        <v>54</v>
      </c>
      <c r="C28" s="5">
        <v>4</v>
      </c>
      <c r="D28" s="18"/>
      <c r="E28" s="18"/>
    </row>
    <row r="29" spans="1:5" ht="15.75" x14ac:dyDescent="0.25">
      <c r="A29" s="6" t="s">
        <v>22</v>
      </c>
      <c r="B29" s="5">
        <v>55</v>
      </c>
      <c r="C29" s="5">
        <v>1</v>
      </c>
      <c r="D29" s="18"/>
      <c r="E29" s="18"/>
    </row>
    <row r="30" spans="1:5" ht="15.75" x14ac:dyDescent="0.25">
      <c r="A30" s="6" t="s">
        <v>23</v>
      </c>
      <c r="B30" s="5">
        <v>55</v>
      </c>
      <c r="C30" s="5">
        <v>2</v>
      </c>
      <c r="D30" s="18"/>
      <c r="E30" s="18"/>
    </row>
    <row r="31" spans="1:5" ht="15.75" x14ac:dyDescent="0.25">
      <c r="A31" s="6" t="s">
        <v>24</v>
      </c>
      <c r="B31" s="5">
        <v>51</v>
      </c>
      <c r="C31" s="5">
        <v>2</v>
      </c>
      <c r="D31" s="18"/>
      <c r="E31" s="18">
        <v>1</v>
      </c>
    </row>
    <row r="32" spans="1:5" ht="15.75" x14ac:dyDescent="0.25">
      <c r="A32" s="6" t="s">
        <v>25</v>
      </c>
      <c r="B32" s="5">
        <v>46</v>
      </c>
      <c r="C32" s="5">
        <v>1</v>
      </c>
      <c r="D32" s="18"/>
      <c r="E32" s="18"/>
    </row>
    <row r="33" spans="1:5" ht="15.75" x14ac:dyDescent="0.25">
      <c r="A33" s="6" t="s">
        <v>26</v>
      </c>
      <c r="B33" s="5" t="s">
        <v>19</v>
      </c>
      <c r="C33" s="5"/>
      <c r="D33" s="18"/>
      <c r="E33" s="18"/>
    </row>
    <row r="34" spans="1:5" ht="15.75" x14ac:dyDescent="0.25">
      <c r="A34" s="6"/>
      <c r="B34" s="5"/>
      <c r="C34" s="5"/>
      <c r="D34" s="18"/>
      <c r="E34" s="18"/>
    </row>
    <row r="35" spans="1:5" x14ac:dyDescent="0.25">
      <c r="A35" s="8"/>
      <c r="B35" s="9">
        <f>SUM(B23:B34)</f>
        <v>520</v>
      </c>
      <c r="C35" s="9">
        <f>SUM(C23:C34)</f>
        <v>21</v>
      </c>
      <c r="D35" s="9">
        <v>1</v>
      </c>
      <c r="E35" s="9">
        <f>SUM(E23:E34)</f>
        <v>2</v>
      </c>
    </row>
    <row r="37" spans="1:5" ht="15.75" x14ac:dyDescent="0.25">
      <c r="A37" s="14" t="s">
        <v>36</v>
      </c>
      <c r="B37" s="14"/>
      <c r="C37" s="14"/>
      <c r="D37" s="14"/>
      <c r="E37" s="14"/>
    </row>
    <row r="38" spans="1:5" ht="15.75" x14ac:dyDescent="0.25">
      <c r="A38" s="4" t="s">
        <v>0</v>
      </c>
      <c r="B38" s="5" t="s">
        <v>1</v>
      </c>
      <c r="C38" s="5" t="s">
        <v>2</v>
      </c>
      <c r="D38" s="3" t="s">
        <v>32</v>
      </c>
      <c r="E38" s="3" t="s">
        <v>33</v>
      </c>
    </row>
    <row r="39" spans="1:5" ht="15.75" x14ac:dyDescent="0.25">
      <c r="A39" s="6" t="s">
        <v>3</v>
      </c>
      <c r="B39" s="5">
        <v>30</v>
      </c>
      <c r="C39" s="5">
        <v>3</v>
      </c>
      <c r="D39" s="15">
        <v>1</v>
      </c>
      <c r="E39" s="19">
        <v>1</v>
      </c>
    </row>
    <row r="40" spans="1:5" ht="15.75" x14ac:dyDescent="0.25">
      <c r="A40" s="6" t="s">
        <v>4</v>
      </c>
      <c r="B40" s="5">
        <v>28</v>
      </c>
      <c r="C40" s="5">
        <v>3</v>
      </c>
      <c r="D40" s="16"/>
      <c r="E40" s="19"/>
    </row>
    <row r="41" spans="1:5" ht="15.75" x14ac:dyDescent="0.25">
      <c r="A41" s="6" t="s">
        <v>5</v>
      </c>
      <c r="B41" s="5">
        <v>28</v>
      </c>
      <c r="C41" s="5">
        <v>3</v>
      </c>
      <c r="D41" s="16"/>
      <c r="E41" s="19"/>
    </row>
    <row r="42" spans="1:5" ht="15.75" x14ac:dyDescent="0.25">
      <c r="A42" s="6" t="s">
        <v>6</v>
      </c>
      <c r="B42" s="5">
        <v>35</v>
      </c>
      <c r="C42" s="5">
        <v>3</v>
      </c>
      <c r="D42" s="16"/>
      <c r="E42" s="19"/>
    </row>
    <row r="43" spans="1:5" ht="15.75" x14ac:dyDescent="0.25">
      <c r="A43" s="6" t="s">
        <v>7</v>
      </c>
      <c r="B43" s="5">
        <v>30</v>
      </c>
      <c r="C43" s="5">
        <v>3</v>
      </c>
      <c r="D43" s="16"/>
      <c r="E43" s="19"/>
    </row>
    <row r="44" spans="1:5" ht="15.75" x14ac:dyDescent="0.25">
      <c r="A44" s="6" t="s">
        <v>8</v>
      </c>
      <c r="B44" s="5">
        <v>24</v>
      </c>
      <c r="C44" s="5">
        <v>3</v>
      </c>
      <c r="D44" s="16"/>
      <c r="E44" s="19"/>
    </row>
    <row r="45" spans="1:5" ht="15.75" x14ac:dyDescent="0.25">
      <c r="A45" s="6" t="s">
        <v>9</v>
      </c>
      <c r="B45" s="5">
        <v>20</v>
      </c>
      <c r="C45" s="5">
        <v>3</v>
      </c>
      <c r="D45" s="16"/>
      <c r="E45" s="19"/>
    </row>
    <row r="46" spans="1:5" ht="15.75" x14ac:dyDescent="0.25">
      <c r="A46" s="6" t="s">
        <v>10</v>
      </c>
      <c r="B46" s="5">
        <v>25</v>
      </c>
      <c r="C46" s="5">
        <v>3</v>
      </c>
      <c r="D46" s="16"/>
      <c r="E46" s="19"/>
    </row>
    <row r="47" spans="1:5" ht="15.75" x14ac:dyDescent="0.25">
      <c r="A47" s="6" t="s">
        <v>11</v>
      </c>
      <c r="B47" s="5">
        <v>44</v>
      </c>
      <c r="C47" s="5">
        <v>0</v>
      </c>
      <c r="D47" s="16"/>
      <c r="E47" s="19">
        <v>1</v>
      </c>
    </row>
    <row r="48" spans="1:5" ht="15.75" x14ac:dyDescent="0.25">
      <c r="A48" s="6" t="s">
        <v>12</v>
      </c>
      <c r="B48" s="5">
        <v>45</v>
      </c>
      <c r="C48" s="5">
        <v>2</v>
      </c>
      <c r="D48" s="16"/>
      <c r="E48" s="19"/>
    </row>
    <row r="49" spans="1:5" ht="15.75" x14ac:dyDescent="0.25">
      <c r="A49" s="6" t="s">
        <v>13</v>
      </c>
      <c r="B49" s="5">
        <v>55</v>
      </c>
      <c r="C49" s="5">
        <v>0</v>
      </c>
      <c r="D49" s="16"/>
      <c r="E49" s="19"/>
    </row>
    <row r="50" spans="1:5" ht="15.75" x14ac:dyDescent="0.25">
      <c r="A50" s="6" t="s">
        <v>14</v>
      </c>
      <c r="B50" s="5">
        <v>51</v>
      </c>
      <c r="C50" s="5">
        <v>1</v>
      </c>
      <c r="D50" s="16"/>
      <c r="E50" s="19"/>
    </row>
    <row r="51" spans="1:5" ht="15.75" x14ac:dyDescent="0.25">
      <c r="A51" s="6" t="s">
        <v>15</v>
      </c>
      <c r="B51" s="5">
        <v>51</v>
      </c>
      <c r="C51" s="5">
        <v>2</v>
      </c>
      <c r="D51" s="16"/>
      <c r="E51" s="19"/>
    </row>
    <row r="52" spans="1:5" ht="15.75" x14ac:dyDescent="0.25">
      <c r="A52" s="6" t="s">
        <v>16</v>
      </c>
      <c r="B52" s="5">
        <v>52</v>
      </c>
      <c r="C52" s="5">
        <v>0</v>
      </c>
      <c r="D52" s="16"/>
      <c r="E52" s="19"/>
    </row>
    <row r="53" spans="1:5" ht="15.75" x14ac:dyDescent="0.25">
      <c r="A53" s="6" t="s">
        <v>17</v>
      </c>
      <c r="B53" s="5">
        <v>54</v>
      </c>
      <c r="C53" s="5">
        <v>0</v>
      </c>
      <c r="D53" s="16"/>
      <c r="E53" s="19"/>
    </row>
    <row r="54" spans="1:5" ht="15.75" x14ac:dyDescent="0.25">
      <c r="A54" s="6" t="s">
        <v>18</v>
      </c>
      <c r="B54" s="5">
        <v>58</v>
      </c>
      <c r="C54" s="5">
        <v>0</v>
      </c>
      <c r="D54" s="16"/>
      <c r="E54" s="19"/>
    </row>
    <row r="55" spans="1:5" ht="15.75" x14ac:dyDescent="0.25">
      <c r="A55" s="6" t="s">
        <v>39</v>
      </c>
      <c r="B55" s="5" t="s">
        <v>19</v>
      </c>
      <c r="C55" s="5">
        <v>0</v>
      </c>
      <c r="D55" s="16"/>
      <c r="E55" s="15">
        <v>1</v>
      </c>
    </row>
    <row r="56" spans="1:5" ht="15.75" x14ac:dyDescent="0.25">
      <c r="A56" s="6"/>
      <c r="B56" s="5"/>
      <c r="C56" s="5"/>
      <c r="D56" s="16"/>
      <c r="E56" s="16"/>
    </row>
    <row r="57" spans="1:5" ht="15.75" x14ac:dyDescent="0.25">
      <c r="A57" s="6"/>
      <c r="B57" s="5"/>
      <c r="C57" s="5"/>
      <c r="D57" s="16"/>
      <c r="E57" s="16"/>
    </row>
    <row r="58" spans="1:5" ht="15.75" x14ac:dyDescent="0.25">
      <c r="A58" s="6"/>
      <c r="B58" s="5"/>
      <c r="C58" s="5"/>
      <c r="D58" s="17"/>
      <c r="E58" s="17"/>
    </row>
    <row r="59" spans="1:5" x14ac:dyDescent="0.25">
      <c r="A59" s="8"/>
      <c r="B59" s="9">
        <f>SUM(B39:B58)</f>
        <v>630</v>
      </c>
      <c r="C59" s="9">
        <f>SUM(C39:C58)</f>
        <v>29</v>
      </c>
      <c r="D59" s="9">
        <v>1</v>
      </c>
      <c r="E59" s="9">
        <f>SUM(E39:E58)</f>
        <v>3</v>
      </c>
    </row>
    <row r="61" spans="1:5" ht="15.75" x14ac:dyDescent="0.25">
      <c r="A61" s="14" t="s">
        <v>37</v>
      </c>
      <c r="B61" s="14"/>
      <c r="C61" s="14"/>
      <c r="D61" s="14"/>
      <c r="E61" s="14"/>
    </row>
    <row r="62" spans="1:5" ht="15.75" x14ac:dyDescent="0.25">
      <c r="A62" s="4" t="s">
        <v>0</v>
      </c>
      <c r="B62" s="5" t="s">
        <v>1</v>
      </c>
      <c r="C62" s="5" t="s">
        <v>2</v>
      </c>
      <c r="D62" s="3" t="s">
        <v>32</v>
      </c>
      <c r="E62" s="3" t="s">
        <v>33</v>
      </c>
    </row>
    <row r="63" spans="1:5" ht="15.75" x14ac:dyDescent="0.25">
      <c r="A63" s="6" t="s">
        <v>20</v>
      </c>
      <c r="B63" s="5">
        <v>20</v>
      </c>
      <c r="C63" s="5">
        <v>3</v>
      </c>
      <c r="D63" s="18">
        <v>1</v>
      </c>
      <c r="E63" s="18">
        <v>1</v>
      </c>
    </row>
    <row r="64" spans="1:5" ht="15.75" x14ac:dyDescent="0.25">
      <c r="A64" s="6" t="s">
        <v>21</v>
      </c>
      <c r="B64" s="5">
        <v>20</v>
      </c>
      <c r="C64" s="5">
        <v>3</v>
      </c>
      <c r="D64" s="18"/>
      <c r="E64" s="18"/>
    </row>
    <row r="65" spans="1:5" ht="15.75" x14ac:dyDescent="0.25">
      <c r="A65" s="6" t="s">
        <v>22</v>
      </c>
      <c r="B65" s="5">
        <v>20</v>
      </c>
      <c r="C65" s="5">
        <v>3</v>
      </c>
      <c r="D65" s="18"/>
      <c r="E65" s="18"/>
    </row>
    <row r="66" spans="1:5" ht="15.75" x14ac:dyDescent="0.25">
      <c r="A66" s="6" t="s">
        <v>23</v>
      </c>
      <c r="B66" s="5">
        <v>16</v>
      </c>
      <c r="C66" s="5">
        <v>3</v>
      </c>
      <c r="D66" s="18"/>
      <c r="E66" s="18"/>
    </row>
    <row r="67" spans="1:5" ht="15.75" x14ac:dyDescent="0.25">
      <c r="A67" s="6" t="s">
        <v>24</v>
      </c>
      <c r="B67" s="5">
        <v>16</v>
      </c>
      <c r="C67" s="5">
        <v>3</v>
      </c>
      <c r="D67" s="18"/>
      <c r="E67" s="18"/>
    </row>
    <row r="68" spans="1:5" ht="15.75" x14ac:dyDescent="0.25">
      <c r="A68" s="6" t="s">
        <v>25</v>
      </c>
      <c r="B68" s="5">
        <v>16</v>
      </c>
      <c r="C68" s="5">
        <v>3</v>
      </c>
      <c r="D68" s="18"/>
      <c r="E68" s="18"/>
    </row>
    <row r="69" spans="1:5" ht="15.75" x14ac:dyDescent="0.25">
      <c r="A69" s="6" t="s">
        <v>26</v>
      </c>
      <c r="B69" s="5">
        <v>31</v>
      </c>
      <c r="C69" s="5">
        <v>2</v>
      </c>
      <c r="D69" s="18"/>
      <c r="E69" s="18"/>
    </row>
    <row r="70" spans="1:5" ht="15.75" x14ac:dyDescent="0.25">
      <c r="A70" s="6" t="s">
        <v>27</v>
      </c>
      <c r="B70" s="5">
        <v>36</v>
      </c>
      <c r="C70" s="5">
        <v>0</v>
      </c>
      <c r="D70" s="18"/>
      <c r="E70" s="18"/>
    </row>
    <row r="71" spans="1:5" ht="15.75" x14ac:dyDescent="0.25">
      <c r="A71" s="6" t="s">
        <v>40</v>
      </c>
      <c r="B71" s="5" t="s">
        <v>19</v>
      </c>
      <c r="C71" s="5"/>
      <c r="D71" s="18"/>
      <c r="E71" s="18">
        <v>1</v>
      </c>
    </row>
    <row r="72" spans="1:5" ht="15.75" x14ac:dyDescent="0.25">
      <c r="A72" s="6"/>
      <c r="B72" s="5"/>
      <c r="C72" s="5"/>
      <c r="D72" s="18"/>
      <c r="E72" s="18"/>
    </row>
    <row r="73" spans="1:5" ht="15.75" x14ac:dyDescent="0.25">
      <c r="A73" s="6"/>
      <c r="B73" s="5"/>
      <c r="C73" s="5"/>
      <c r="D73" s="18"/>
      <c r="E73" s="18"/>
    </row>
    <row r="74" spans="1:5" ht="15.75" x14ac:dyDescent="0.25">
      <c r="A74" s="6"/>
      <c r="B74" s="5"/>
      <c r="C74" s="5"/>
      <c r="D74" s="18"/>
      <c r="E74" s="18"/>
    </row>
    <row r="75" spans="1:5" x14ac:dyDescent="0.25">
      <c r="A75" s="8"/>
      <c r="B75" s="9">
        <f>SUM(B63:B74)</f>
        <v>175</v>
      </c>
      <c r="C75" s="9">
        <f>SUM(C63:C74)</f>
        <v>20</v>
      </c>
      <c r="D75" s="9">
        <v>1</v>
      </c>
      <c r="E75" s="9">
        <f>SUM(E63:E74)</f>
        <v>2</v>
      </c>
    </row>
    <row r="77" spans="1:5" ht="15.75" x14ac:dyDescent="0.25">
      <c r="A77" s="14" t="s">
        <v>38</v>
      </c>
      <c r="B77" s="14"/>
      <c r="C77" s="14"/>
      <c r="D77" s="14"/>
      <c r="E77" s="14"/>
    </row>
    <row r="78" spans="1:5" ht="15.75" x14ac:dyDescent="0.25">
      <c r="A78" s="4" t="s">
        <v>0</v>
      </c>
      <c r="B78" s="5" t="s">
        <v>1</v>
      </c>
      <c r="C78" s="5" t="s">
        <v>2</v>
      </c>
      <c r="D78" s="3" t="s">
        <v>32</v>
      </c>
      <c r="E78" s="3" t="s">
        <v>33</v>
      </c>
    </row>
    <row r="79" spans="1:5" ht="15.75" x14ac:dyDescent="0.25">
      <c r="A79" s="6" t="s">
        <v>28</v>
      </c>
      <c r="B79" s="5">
        <v>56</v>
      </c>
      <c r="C79" s="5">
        <v>0</v>
      </c>
      <c r="D79" s="15">
        <v>1</v>
      </c>
      <c r="E79" s="18">
        <v>1</v>
      </c>
    </row>
    <row r="80" spans="1:5" ht="15.75" x14ac:dyDescent="0.25">
      <c r="A80" s="6" t="s">
        <v>29</v>
      </c>
      <c r="B80" s="5">
        <v>54</v>
      </c>
      <c r="C80" s="5">
        <v>1</v>
      </c>
      <c r="D80" s="16"/>
      <c r="E80" s="18"/>
    </row>
    <row r="81" spans="1:5" ht="15.75" x14ac:dyDescent="0.25">
      <c r="A81" s="6" t="s">
        <v>30</v>
      </c>
      <c r="B81" s="5">
        <v>37</v>
      </c>
      <c r="C81" s="5">
        <v>0</v>
      </c>
      <c r="D81" s="16"/>
      <c r="E81" s="18"/>
    </row>
    <row r="82" spans="1:5" ht="15.75" x14ac:dyDescent="0.25">
      <c r="A82" s="6" t="s">
        <v>31</v>
      </c>
      <c r="B82" s="5">
        <v>56</v>
      </c>
      <c r="C82" s="5">
        <v>0</v>
      </c>
      <c r="D82" s="16"/>
      <c r="E82" s="18"/>
    </row>
    <row r="83" spans="1:5" ht="15.75" x14ac:dyDescent="0.25">
      <c r="A83" s="6" t="s">
        <v>41</v>
      </c>
      <c r="B83" s="5">
        <v>56</v>
      </c>
      <c r="C83" s="5">
        <v>0</v>
      </c>
      <c r="D83" s="16"/>
      <c r="E83" s="18"/>
    </row>
    <row r="84" spans="1:5" ht="15.75" x14ac:dyDescent="0.25">
      <c r="A84" s="6" t="s">
        <v>42</v>
      </c>
      <c r="B84" s="5">
        <v>39</v>
      </c>
      <c r="C84" s="5">
        <v>0</v>
      </c>
      <c r="D84" s="16"/>
      <c r="E84" s="18"/>
    </row>
    <row r="85" spans="1:5" ht="15.75" x14ac:dyDescent="0.25">
      <c r="A85" s="6" t="s">
        <v>43</v>
      </c>
      <c r="B85" s="5">
        <v>52</v>
      </c>
      <c r="C85" s="5">
        <v>0</v>
      </c>
      <c r="D85" s="16"/>
      <c r="E85" s="18"/>
    </row>
    <row r="86" spans="1:5" ht="15.75" x14ac:dyDescent="0.25">
      <c r="A86" s="6" t="s">
        <v>44</v>
      </c>
      <c r="B86" s="5">
        <v>55</v>
      </c>
      <c r="C86" s="5">
        <v>0</v>
      </c>
      <c r="D86" s="16"/>
      <c r="E86" s="18"/>
    </row>
    <row r="87" spans="1:5" ht="15.75" x14ac:dyDescent="0.25">
      <c r="A87" s="6" t="s">
        <v>45</v>
      </c>
      <c r="B87" s="5">
        <v>57</v>
      </c>
      <c r="C87" s="5">
        <v>0</v>
      </c>
      <c r="D87" s="16"/>
      <c r="E87" s="18">
        <v>1</v>
      </c>
    </row>
    <row r="88" spans="1:5" ht="15.75" x14ac:dyDescent="0.25">
      <c r="A88" s="6" t="s">
        <v>46</v>
      </c>
      <c r="B88" s="5">
        <v>57</v>
      </c>
      <c r="C88" s="5">
        <v>0</v>
      </c>
      <c r="D88" s="16"/>
      <c r="E88" s="18"/>
    </row>
    <row r="89" spans="1:5" ht="15.75" x14ac:dyDescent="0.25">
      <c r="A89" s="6" t="s">
        <v>47</v>
      </c>
      <c r="B89" s="5">
        <v>53</v>
      </c>
      <c r="C89" s="5">
        <v>0</v>
      </c>
      <c r="D89" s="16"/>
      <c r="E89" s="18"/>
    </row>
    <row r="90" spans="1:5" ht="15.75" x14ac:dyDescent="0.25">
      <c r="A90" s="6" t="s">
        <v>48</v>
      </c>
      <c r="B90" s="5">
        <v>56</v>
      </c>
      <c r="C90" s="5">
        <v>0</v>
      </c>
      <c r="D90" s="16"/>
      <c r="E90" s="18"/>
    </row>
    <row r="91" spans="1:5" ht="15.75" x14ac:dyDescent="0.25">
      <c r="A91" s="6" t="s">
        <v>49</v>
      </c>
      <c r="B91" s="5">
        <v>58</v>
      </c>
      <c r="C91" s="5">
        <v>0</v>
      </c>
      <c r="D91" s="16"/>
      <c r="E91" s="18"/>
    </row>
    <row r="92" spans="1:5" ht="15.75" x14ac:dyDescent="0.25">
      <c r="A92" s="6" t="s">
        <v>50</v>
      </c>
      <c r="B92" s="5">
        <v>57</v>
      </c>
      <c r="C92" s="5">
        <v>0</v>
      </c>
      <c r="D92" s="16"/>
      <c r="E92" s="18"/>
    </row>
    <row r="93" spans="1:5" ht="15.75" x14ac:dyDescent="0.25">
      <c r="A93" s="6" t="s">
        <v>51</v>
      </c>
      <c r="B93" s="5">
        <v>57</v>
      </c>
      <c r="C93" s="5">
        <v>0</v>
      </c>
      <c r="D93" s="16"/>
      <c r="E93" s="18"/>
    </row>
    <row r="94" spans="1:5" ht="15.75" x14ac:dyDescent="0.25">
      <c r="A94" s="6" t="s">
        <v>52</v>
      </c>
      <c r="B94" s="5">
        <v>58</v>
      </c>
      <c r="C94" s="5">
        <v>0</v>
      </c>
      <c r="D94" s="16"/>
      <c r="E94" s="18"/>
    </row>
    <row r="95" spans="1:5" ht="15.75" x14ac:dyDescent="0.25">
      <c r="A95" s="6" t="s">
        <v>53</v>
      </c>
      <c r="B95" s="5">
        <v>57</v>
      </c>
      <c r="C95" s="5">
        <v>0</v>
      </c>
      <c r="D95" s="16"/>
      <c r="E95" s="18">
        <v>1</v>
      </c>
    </row>
    <row r="96" spans="1:5" ht="15.75" x14ac:dyDescent="0.25">
      <c r="A96" s="6" t="s">
        <v>54</v>
      </c>
      <c r="B96" s="5">
        <v>58</v>
      </c>
      <c r="C96" s="5">
        <v>0</v>
      </c>
      <c r="D96" s="16"/>
      <c r="E96" s="18"/>
    </row>
    <row r="97" spans="1:5" ht="15.75" x14ac:dyDescent="0.25">
      <c r="A97" s="6" t="s">
        <v>55</v>
      </c>
      <c r="B97" s="5">
        <v>57</v>
      </c>
      <c r="C97" s="5">
        <v>0</v>
      </c>
      <c r="D97" s="16"/>
      <c r="E97" s="18"/>
    </row>
    <row r="98" spans="1:5" ht="15.75" x14ac:dyDescent="0.25">
      <c r="A98" s="6" t="s">
        <v>56</v>
      </c>
      <c r="B98" s="5">
        <v>56</v>
      </c>
      <c r="C98" s="5">
        <v>0</v>
      </c>
      <c r="D98" s="16"/>
      <c r="E98" s="18"/>
    </row>
    <row r="99" spans="1:5" ht="15.75" x14ac:dyDescent="0.25">
      <c r="A99" s="6" t="s">
        <v>57</v>
      </c>
      <c r="B99" s="5">
        <v>55</v>
      </c>
      <c r="C99" s="5">
        <v>1</v>
      </c>
      <c r="D99" s="16"/>
      <c r="E99" s="18"/>
    </row>
    <row r="100" spans="1:5" ht="15.75" x14ac:dyDescent="0.25">
      <c r="A100" s="6" t="s">
        <v>58</v>
      </c>
      <c r="B100" s="5">
        <v>56</v>
      </c>
      <c r="C100" s="5">
        <v>0</v>
      </c>
      <c r="D100" s="16"/>
      <c r="E100" s="18"/>
    </row>
    <row r="101" spans="1:5" ht="15.75" x14ac:dyDescent="0.25">
      <c r="A101" s="6" t="s">
        <v>59</v>
      </c>
      <c r="B101" s="5">
        <v>52</v>
      </c>
      <c r="C101" s="5">
        <v>1</v>
      </c>
      <c r="D101" s="16"/>
      <c r="E101" s="18"/>
    </row>
    <row r="102" spans="1:5" ht="15.75" x14ac:dyDescent="0.25">
      <c r="A102" s="6" t="s">
        <v>60</v>
      </c>
      <c r="B102" s="5">
        <v>60</v>
      </c>
      <c r="C102" s="5">
        <v>0</v>
      </c>
      <c r="D102" s="16"/>
      <c r="E102" s="18"/>
    </row>
    <row r="103" spans="1:5" ht="15.75" x14ac:dyDescent="0.25">
      <c r="A103" s="6" t="s">
        <v>61</v>
      </c>
      <c r="B103" s="5">
        <v>57</v>
      </c>
      <c r="C103" s="5">
        <v>0</v>
      </c>
      <c r="D103" s="16"/>
      <c r="E103" s="15">
        <v>1</v>
      </c>
    </row>
    <row r="104" spans="1:5" ht="15.75" x14ac:dyDescent="0.25">
      <c r="A104" s="6" t="s">
        <v>62</v>
      </c>
      <c r="B104" s="5">
        <v>55</v>
      </c>
      <c r="C104" s="5">
        <v>0</v>
      </c>
      <c r="D104" s="16"/>
      <c r="E104" s="16"/>
    </row>
    <row r="105" spans="1:5" ht="15.75" x14ac:dyDescent="0.25">
      <c r="A105" s="6" t="s">
        <v>63</v>
      </c>
      <c r="B105" s="5">
        <v>56</v>
      </c>
      <c r="C105" s="5">
        <v>1</v>
      </c>
      <c r="D105" s="16"/>
      <c r="E105" s="16"/>
    </row>
    <row r="106" spans="1:5" ht="15.75" x14ac:dyDescent="0.25">
      <c r="A106" s="6" t="s">
        <v>64</v>
      </c>
      <c r="B106" s="5">
        <v>55</v>
      </c>
      <c r="C106" s="5">
        <v>1</v>
      </c>
      <c r="D106" s="16"/>
      <c r="E106" s="16"/>
    </row>
    <row r="107" spans="1:5" ht="15.75" x14ac:dyDescent="0.25">
      <c r="A107" s="6" t="s">
        <v>65</v>
      </c>
      <c r="B107" s="5">
        <v>55</v>
      </c>
      <c r="C107" s="5">
        <v>0</v>
      </c>
      <c r="D107" s="16"/>
      <c r="E107" s="16"/>
    </row>
    <row r="108" spans="1:5" ht="15.75" x14ac:dyDescent="0.25">
      <c r="A108" s="6" t="s">
        <v>66</v>
      </c>
      <c r="B108" s="5">
        <v>58</v>
      </c>
      <c r="C108" s="5">
        <v>0</v>
      </c>
      <c r="D108" s="16"/>
      <c r="E108" s="16"/>
    </row>
    <row r="109" spans="1:5" ht="15.75" x14ac:dyDescent="0.25">
      <c r="A109" s="6" t="s">
        <v>67</v>
      </c>
      <c r="B109" s="5">
        <v>56</v>
      </c>
      <c r="C109" s="5">
        <v>0</v>
      </c>
      <c r="D109" s="16"/>
      <c r="E109" s="16"/>
    </row>
    <row r="110" spans="1:5" ht="15.75" x14ac:dyDescent="0.25">
      <c r="A110" s="6" t="s">
        <v>68</v>
      </c>
      <c r="B110" s="5">
        <v>60</v>
      </c>
      <c r="C110" s="5">
        <v>0</v>
      </c>
      <c r="D110" s="16"/>
      <c r="E110" s="17"/>
    </row>
    <row r="111" spans="1:5" ht="15.75" x14ac:dyDescent="0.25">
      <c r="A111" s="12" t="s">
        <v>69</v>
      </c>
      <c r="B111" s="7">
        <v>62</v>
      </c>
      <c r="C111" s="7">
        <v>0</v>
      </c>
      <c r="D111" s="16"/>
      <c r="E111" s="15">
        <v>1</v>
      </c>
    </row>
    <row r="112" spans="1:5" ht="15.75" x14ac:dyDescent="0.25">
      <c r="A112" s="12" t="s">
        <v>70</v>
      </c>
      <c r="B112" s="7" t="s">
        <v>19</v>
      </c>
      <c r="C112" s="7">
        <v>0</v>
      </c>
      <c r="D112" s="16"/>
      <c r="E112" s="17"/>
    </row>
    <row r="113" spans="1:5" ht="15.75" x14ac:dyDescent="0.25">
      <c r="A113" s="6"/>
      <c r="B113" s="5"/>
      <c r="C113" s="5"/>
      <c r="D113" s="16"/>
      <c r="E113" s="3"/>
    </row>
    <row r="114" spans="1:5" ht="15.75" x14ac:dyDescent="0.25">
      <c r="A114" s="6"/>
      <c r="B114" s="5"/>
      <c r="C114" s="5"/>
      <c r="D114" s="17"/>
      <c r="E114" s="3"/>
    </row>
    <row r="115" spans="1:5" x14ac:dyDescent="0.25">
      <c r="A115" s="8"/>
      <c r="B115" s="9">
        <f>SUM(B79:B114)</f>
        <v>1823</v>
      </c>
      <c r="C115" s="9">
        <f>SUM(C79:C114)</f>
        <v>5</v>
      </c>
      <c r="D115" s="9">
        <v>1</v>
      </c>
      <c r="E115" s="9">
        <f>SUM(E79:E114)</f>
        <v>5</v>
      </c>
    </row>
    <row r="117" spans="1:5" ht="15.75" x14ac:dyDescent="0.25">
      <c r="A117" s="14" t="s">
        <v>71</v>
      </c>
      <c r="B117" s="14"/>
      <c r="C117" s="14"/>
      <c r="D117" s="14"/>
      <c r="E117" s="14"/>
    </row>
    <row r="118" spans="1:5" ht="15.75" x14ac:dyDescent="0.25">
      <c r="A118" s="4" t="s">
        <v>0</v>
      </c>
      <c r="B118" s="5" t="s">
        <v>1</v>
      </c>
      <c r="C118" s="5" t="s">
        <v>2</v>
      </c>
      <c r="D118" s="3" t="s">
        <v>32</v>
      </c>
      <c r="E118" s="3" t="s">
        <v>33</v>
      </c>
    </row>
    <row r="119" spans="1:5" ht="15.75" x14ac:dyDescent="0.25">
      <c r="A119" s="6" t="s">
        <v>3</v>
      </c>
      <c r="B119" s="5">
        <v>47</v>
      </c>
      <c r="C119" s="5">
        <v>2</v>
      </c>
      <c r="D119" s="18">
        <v>1</v>
      </c>
      <c r="E119" s="18">
        <v>1</v>
      </c>
    </row>
    <row r="120" spans="1:5" ht="15.75" x14ac:dyDescent="0.25">
      <c r="A120" s="6" t="s">
        <v>4</v>
      </c>
      <c r="B120" s="5">
        <v>23</v>
      </c>
      <c r="C120" s="5">
        <v>3</v>
      </c>
      <c r="D120" s="18"/>
      <c r="E120" s="18"/>
    </row>
    <row r="121" spans="1:5" ht="15.75" x14ac:dyDescent="0.25">
      <c r="A121" s="6" t="s">
        <v>5</v>
      </c>
      <c r="B121" s="5" t="s">
        <v>19</v>
      </c>
      <c r="C121" s="5">
        <v>0</v>
      </c>
      <c r="D121" s="18"/>
      <c r="E121" s="18"/>
    </row>
    <row r="122" spans="1:5" ht="15.75" x14ac:dyDescent="0.25">
      <c r="A122" s="6"/>
      <c r="B122" s="5"/>
      <c r="C122" s="5"/>
      <c r="D122" s="18"/>
      <c r="E122" s="18"/>
    </row>
    <row r="123" spans="1:5" ht="15.75" x14ac:dyDescent="0.25">
      <c r="A123" s="6"/>
      <c r="B123" s="5"/>
      <c r="C123" s="5"/>
      <c r="D123" s="18"/>
      <c r="E123" s="18"/>
    </row>
    <row r="124" spans="1:5" ht="15.75" x14ac:dyDescent="0.25">
      <c r="A124" s="6"/>
      <c r="B124" s="5"/>
      <c r="C124" s="5"/>
      <c r="D124" s="18"/>
      <c r="E124" s="18"/>
    </row>
    <row r="125" spans="1:5" ht="15.75" x14ac:dyDescent="0.25">
      <c r="A125" s="6"/>
      <c r="B125" s="5"/>
      <c r="C125" s="5"/>
      <c r="D125" s="18"/>
      <c r="E125" s="18"/>
    </row>
    <row r="126" spans="1:5" ht="15.75" x14ac:dyDescent="0.25">
      <c r="A126" s="6"/>
      <c r="B126" s="5"/>
      <c r="C126" s="5"/>
      <c r="D126" s="18"/>
      <c r="E126" s="18"/>
    </row>
    <row r="127" spans="1:5" x14ac:dyDescent="0.25">
      <c r="A127" s="8"/>
      <c r="B127" s="9">
        <f>SUM(B119:B126)</f>
        <v>70</v>
      </c>
      <c r="C127" s="9">
        <f>SUM(C119:C126)</f>
        <v>5</v>
      </c>
      <c r="D127" s="9">
        <v>1</v>
      </c>
      <c r="E127" s="9">
        <f>SUM(E119:E126)</f>
        <v>1</v>
      </c>
    </row>
    <row r="129" spans="1:5" ht="15.75" x14ac:dyDescent="0.25">
      <c r="A129" s="14" t="s">
        <v>72</v>
      </c>
      <c r="B129" s="14"/>
      <c r="C129" s="14"/>
      <c r="D129" s="14"/>
      <c r="E129" s="14"/>
    </row>
    <row r="130" spans="1:5" ht="15.75" x14ac:dyDescent="0.25">
      <c r="A130" s="4" t="s">
        <v>0</v>
      </c>
      <c r="B130" s="5" t="s">
        <v>1</v>
      </c>
      <c r="C130" s="5" t="s">
        <v>2</v>
      </c>
      <c r="D130" s="3" t="s">
        <v>32</v>
      </c>
      <c r="E130" s="3" t="s">
        <v>33</v>
      </c>
    </row>
    <row r="131" spans="1:5" ht="15.75" x14ac:dyDescent="0.25">
      <c r="A131" s="6" t="s">
        <v>7</v>
      </c>
      <c r="B131" s="5">
        <v>55</v>
      </c>
      <c r="C131" s="5">
        <v>4</v>
      </c>
      <c r="D131" s="15">
        <v>1</v>
      </c>
      <c r="E131" s="18">
        <v>1</v>
      </c>
    </row>
    <row r="132" spans="1:5" ht="15.75" x14ac:dyDescent="0.25">
      <c r="A132" s="6" t="s">
        <v>8</v>
      </c>
      <c r="B132" s="5">
        <v>50</v>
      </c>
      <c r="C132" s="5">
        <v>0</v>
      </c>
      <c r="D132" s="16"/>
      <c r="E132" s="18"/>
    </row>
    <row r="133" spans="1:5" ht="15.75" x14ac:dyDescent="0.25">
      <c r="A133" s="6" t="s">
        <v>9</v>
      </c>
      <c r="B133" s="5">
        <v>53</v>
      </c>
      <c r="C133" s="5">
        <v>0</v>
      </c>
      <c r="D133" s="16"/>
      <c r="E133" s="18"/>
    </row>
    <row r="134" spans="1:5" ht="15.75" x14ac:dyDescent="0.25">
      <c r="A134" s="6" t="s">
        <v>10</v>
      </c>
      <c r="B134" s="5">
        <v>58</v>
      </c>
      <c r="C134" s="5">
        <v>0</v>
      </c>
      <c r="D134" s="16"/>
      <c r="E134" s="18"/>
    </row>
    <row r="135" spans="1:5" ht="15.75" x14ac:dyDescent="0.25">
      <c r="A135" s="6" t="s">
        <v>11</v>
      </c>
      <c r="B135" s="5">
        <v>53</v>
      </c>
      <c r="C135" s="5">
        <v>0</v>
      </c>
      <c r="D135" s="16"/>
      <c r="E135" s="18"/>
    </row>
    <row r="136" spans="1:5" ht="15.75" x14ac:dyDescent="0.25">
      <c r="A136" s="6" t="s">
        <v>12</v>
      </c>
      <c r="B136" s="5">
        <v>51</v>
      </c>
      <c r="C136" s="5">
        <v>0</v>
      </c>
      <c r="D136" s="16"/>
      <c r="E136" s="18"/>
    </row>
    <row r="137" spans="1:5" ht="15.75" x14ac:dyDescent="0.25">
      <c r="A137" s="6" t="s">
        <v>13</v>
      </c>
      <c r="B137" s="5">
        <v>61</v>
      </c>
      <c r="C137" s="5">
        <v>0</v>
      </c>
      <c r="D137" s="16"/>
      <c r="E137" s="18"/>
    </row>
    <row r="138" spans="1:5" ht="15.75" x14ac:dyDescent="0.25">
      <c r="A138" s="6" t="s">
        <v>14</v>
      </c>
      <c r="B138" s="5">
        <v>60</v>
      </c>
      <c r="C138" s="5">
        <v>0</v>
      </c>
      <c r="D138" s="16"/>
      <c r="E138" s="18"/>
    </row>
    <row r="139" spans="1:5" ht="15.75" x14ac:dyDescent="0.25">
      <c r="A139" s="6" t="s">
        <v>15</v>
      </c>
      <c r="B139" s="5">
        <v>60</v>
      </c>
      <c r="C139" s="5">
        <v>0</v>
      </c>
      <c r="D139" s="16"/>
      <c r="E139" s="18">
        <v>1</v>
      </c>
    </row>
    <row r="140" spans="1:5" ht="15.75" x14ac:dyDescent="0.25">
      <c r="A140" s="6" t="s">
        <v>16</v>
      </c>
      <c r="B140" s="5">
        <v>58</v>
      </c>
      <c r="C140" s="5">
        <v>0</v>
      </c>
      <c r="D140" s="16"/>
      <c r="E140" s="18"/>
    </row>
    <row r="141" spans="1:5" ht="15.75" x14ac:dyDescent="0.25">
      <c r="A141" s="6" t="s">
        <v>17</v>
      </c>
      <c r="B141" s="5">
        <v>54</v>
      </c>
      <c r="C141" s="5">
        <v>0</v>
      </c>
      <c r="D141" s="16"/>
      <c r="E141" s="18"/>
    </row>
    <row r="142" spans="1:5" ht="15.75" x14ac:dyDescent="0.25">
      <c r="A142" s="6" t="s">
        <v>18</v>
      </c>
      <c r="B142" s="5">
        <v>59</v>
      </c>
      <c r="C142" s="5">
        <v>0</v>
      </c>
      <c r="D142" s="16"/>
      <c r="E142" s="18"/>
    </row>
    <row r="143" spans="1:5" ht="15.75" x14ac:dyDescent="0.25">
      <c r="A143" s="6" t="s">
        <v>20</v>
      </c>
      <c r="B143" s="5">
        <v>58</v>
      </c>
      <c r="C143" s="5">
        <v>0</v>
      </c>
      <c r="D143" s="16"/>
      <c r="E143" s="18"/>
    </row>
    <row r="144" spans="1:5" ht="15.75" x14ac:dyDescent="0.25">
      <c r="A144" s="6" t="s">
        <v>21</v>
      </c>
      <c r="B144" s="5">
        <v>51</v>
      </c>
      <c r="C144" s="5">
        <v>0</v>
      </c>
      <c r="D144" s="16"/>
      <c r="E144" s="18"/>
    </row>
    <row r="145" spans="1:5" ht="15.75" x14ac:dyDescent="0.25">
      <c r="A145" s="6" t="s">
        <v>22</v>
      </c>
      <c r="B145" s="5">
        <v>56</v>
      </c>
      <c r="C145" s="5">
        <v>0</v>
      </c>
      <c r="D145" s="16"/>
      <c r="E145" s="18"/>
    </row>
    <row r="146" spans="1:5" ht="15.75" x14ac:dyDescent="0.25">
      <c r="A146" s="6" t="s">
        <v>23</v>
      </c>
      <c r="B146" s="5">
        <v>47</v>
      </c>
      <c r="C146" s="5">
        <v>0</v>
      </c>
      <c r="D146" s="16"/>
      <c r="E146" s="18"/>
    </row>
    <row r="147" spans="1:5" ht="15.75" x14ac:dyDescent="0.25">
      <c r="A147" s="6" t="s">
        <v>24</v>
      </c>
      <c r="B147" s="5">
        <v>55</v>
      </c>
      <c r="C147" s="5">
        <v>0</v>
      </c>
      <c r="D147" s="16"/>
      <c r="E147" s="18">
        <v>1</v>
      </c>
    </row>
    <row r="148" spans="1:5" ht="15.75" x14ac:dyDescent="0.25">
      <c r="A148" s="6" t="s">
        <v>25</v>
      </c>
      <c r="B148" s="5">
        <v>49</v>
      </c>
      <c r="C148" s="5">
        <v>0</v>
      </c>
      <c r="D148" s="16"/>
      <c r="E148" s="18"/>
    </row>
    <row r="149" spans="1:5" ht="15.75" x14ac:dyDescent="0.25">
      <c r="A149" s="6" t="s">
        <v>26</v>
      </c>
      <c r="B149" s="5">
        <v>56</v>
      </c>
      <c r="C149" s="5">
        <v>0</v>
      </c>
      <c r="D149" s="16"/>
      <c r="E149" s="18"/>
    </row>
    <row r="150" spans="1:5" ht="15.75" x14ac:dyDescent="0.25">
      <c r="A150" s="6" t="s">
        <v>27</v>
      </c>
      <c r="B150" s="5">
        <v>52</v>
      </c>
      <c r="C150" s="5">
        <v>2</v>
      </c>
      <c r="D150" s="16"/>
      <c r="E150" s="18"/>
    </row>
    <row r="151" spans="1:5" ht="15.75" x14ac:dyDescent="0.25">
      <c r="A151" s="6" t="s">
        <v>28</v>
      </c>
      <c r="B151" s="5">
        <v>46</v>
      </c>
      <c r="C151" s="5">
        <v>3</v>
      </c>
      <c r="D151" s="16"/>
      <c r="E151" s="18"/>
    </row>
    <row r="152" spans="1:5" ht="15.75" x14ac:dyDescent="0.25">
      <c r="A152" s="6" t="s">
        <v>29</v>
      </c>
      <c r="B152" s="5">
        <v>36</v>
      </c>
      <c r="C152" s="5">
        <v>4</v>
      </c>
      <c r="D152" s="16"/>
      <c r="E152" s="18"/>
    </row>
    <row r="153" spans="1:5" ht="15.75" x14ac:dyDescent="0.25">
      <c r="A153" s="6" t="s">
        <v>30</v>
      </c>
      <c r="B153" s="5">
        <v>61</v>
      </c>
      <c r="C153" s="5">
        <v>1</v>
      </c>
      <c r="D153" s="16"/>
      <c r="E153" s="18"/>
    </row>
    <row r="154" spans="1:5" ht="15.75" x14ac:dyDescent="0.25">
      <c r="A154" s="6" t="s">
        <v>31</v>
      </c>
      <c r="B154" s="5">
        <v>60</v>
      </c>
      <c r="C154" s="5">
        <v>0</v>
      </c>
      <c r="D154" s="16"/>
      <c r="E154" s="18"/>
    </row>
    <row r="155" spans="1:5" ht="15.75" x14ac:dyDescent="0.25">
      <c r="A155" s="6" t="s">
        <v>73</v>
      </c>
      <c r="B155" s="5" t="s">
        <v>19</v>
      </c>
      <c r="C155" s="5">
        <v>0</v>
      </c>
      <c r="D155" s="16"/>
      <c r="E155" s="3">
        <v>1</v>
      </c>
    </row>
    <row r="156" spans="1:5" ht="15.75" x14ac:dyDescent="0.25">
      <c r="A156" s="6"/>
      <c r="B156" s="5"/>
      <c r="C156" s="5"/>
      <c r="D156" s="16"/>
      <c r="E156" s="3"/>
    </row>
    <row r="157" spans="1:5" ht="15.75" x14ac:dyDescent="0.25">
      <c r="A157" s="6"/>
      <c r="B157" s="5"/>
      <c r="C157" s="5"/>
      <c r="D157" s="16"/>
      <c r="E157" s="3"/>
    </row>
    <row r="158" spans="1:5" ht="15.75" x14ac:dyDescent="0.25">
      <c r="A158" s="6"/>
      <c r="B158" s="5"/>
      <c r="C158" s="5"/>
      <c r="D158" s="17"/>
      <c r="E158" s="3"/>
    </row>
    <row r="159" spans="1:5" ht="15.75" x14ac:dyDescent="0.25">
      <c r="A159" s="10"/>
      <c r="B159" s="11">
        <f>SUM(B131:B158)</f>
        <v>1299</v>
      </c>
      <c r="C159" s="11">
        <f>SUM(C131:C158)</f>
        <v>14</v>
      </c>
      <c r="D159" s="9">
        <v>1</v>
      </c>
      <c r="E159" s="9">
        <f>SUM(E131:E158)</f>
        <v>4</v>
      </c>
    </row>
    <row r="161" spans="1:5" x14ac:dyDescent="0.25">
      <c r="A161" s="2" t="s">
        <v>74</v>
      </c>
      <c r="B161" s="1" t="s">
        <v>75</v>
      </c>
      <c r="C161" s="1" t="s">
        <v>76</v>
      </c>
      <c r="D161" s="1" t="s">
        <v>77</v>
      </c>
      <c r="E161" s="1" t="s">
        <v>78</v>
      </c>
    </row>
    <row r="162" spans="1:5" x14ac:dyDescent="0.25">
      <c r="A162" s="1">
        <v>111</v>
      </c>
      <c r="B162" s="1">
        <f>B19+B35+B59+B75+B115+B127+B159</f>
        <v>5044</v>
      </c>
      <c r="C162" s="1">
        <f t="shared" ref="C162:E162" si="0">C19+C35+C59+C75+C115+C127+C159</f>
        <v>123</v>
      </c>
      <c r="D162" s="13">
        <f t="shared" si="0"/>
        <v>7</v>
      </c>
      <c r="E162" s="1">
        <f t="shared" si="0"/>
        <v>19</v>
      </c>
    </row>
    <row r="164" spans="1:5" x14ac:dyDescent="0.25">
      <c r="A164" s="20" t="s">
        <v>79</v>
      </c>
      <c r="B164" s="20"/>
      <c r="C164" s="20"/>
      <c r="D164" s="20"/>
      <c r="E164" s="20"/>
    </row>
    <row r="165" spans="1:5" x14ac:dyDescent="0.25">
      <c r="A165" s="2" t="s">
        <v>80</v>
      </c>
      <c r="B165" s="13">
        <v>100</v>
      </c>
    </row>
    <row r="166" spans="1:5" x14ac:dyDescent="0.25">
      <c r="A166" s="2" t="s">
        <v>81</v>
      </c>
      <c r="B166" s="1">
        <v>23</v>
      </c>
    </row>
    <row r="167" spans="1:5" x14ac:dyDescent="0.25">
      <c r="A167" s="2" t="s">
        <v>82</v>
      </c>
      <c r="B167" s="1">
        <v>10</v>
      </c>
    </row>
  </sheetData>
  <mergeCells count="33">
    <mergeCell ref="E131:E138"/>
    <mergeCell ref="D131:D158"/>
    <mergeCell ref="E139:E146"/>
    <mergeCell ref="E147:E154"/>
    <mergeCell ref="A164:E164"/>
    <mergeCell ref="E63:E70"/>
    <mergeCell ref="E71:E74"/>
    <mergeCell ref="E79:E86"/>
    <mergeCell ref="E87:E94"/>
    <mergeCell ref="E95:E102"/>
    <mergeCell ref="A129:E129"/>
    <mergeCell ref="A117:E117"/>
    <mergeCell ref="D79:D114"/>
    <mergeCell ref="E103:E110"/>
    <mergeCell ref="E111:E112"/>
    <mergeCell ref="D119:D126"/>
    <mergeCell ref="E119:E126"/>
    <mergeCell ref="A1:E1"/>
    <mergeCell ref="A21:E21"/>
    <mergeCell ref="A37:E37"/>
    <mergeCell ref="A61:E61"/>
    <mergeCell ref="A77:E77"/>
    <mergeCell ref="D39:D58"/>
    <mergeCell ref="E55:E58"/>
    <mergeCell ref="D63:D74"/>
    <mergeCell ref="D3:D18"/>
    <mergeCell ref="E3:E10"/>
    <mergeCell ref="E11:E18"/>
    <mergeCell ref="E39:E46"/>
    <mergeCell ref="E47:E54"/>
    <mergeCell ref="D23:D34"/>
    <mergeCell ref="E23:E30"/>
    <mergeCell ref="E31:E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Шишкин Игорь</dc:creator>
  <cp:lastModifiedBy>Игорь Шишкин</cp:lastModifiedBy>
  <dcterms:created xsi:type="dcterms:W3CDTF">2026-05-04T08:14:25Z</dcterms:created>
  <dcterms:modified xsi:type="dcterms:W3CDTF">2026-08-17T12:34:23Z</dcterms:modified>
</cp:coreProperties>
</file>