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KPG_01\99999_КВЦ-ВДНХ\Проект_03 (Р)\Раздел AЭО\!1381-В69-Р-АЭО_r4\"/>
    </mc:Choice>
  </mc:AlternateContent>
  <xr:revisionPtr revIDLastSave="0" documentId="13_ncr:1_{79761E0A-4E88-4FC0-A1AD-C3335D655D6C}" xr6:coauthVersionLast="47" xr6:coauthVersionMax="47" xr10:uidLastSave="{00000000-0000-0000-0000-000000000000}"/>
  <bookViews>
    <workbookView xWindow="23904" yWindow="864" windowWidth="19416" windowHeight="11496" activeTab="4" xr2:uid="{00000000-000D-0000-FFFF-FFFF00000000}"/>
  </bookViews>
  <sheets>
    <sheet name="-1 эт." sheetId="1" r:id="rId1"/>
    <sheet name="1 эт." sheetId="2" r:id="rId2"/>
    <sheet name="2 эт." sheetId="5" r:id="rId3"/>
    <sheet name="3 эт." sheetId="6" r:id="rId4"/>
    <sheet name="HMI" sheetId="7" r:id="rId5"/>
    <sheet name="ЩО_ЩОА" sheetId="8" r:id="rId6"/>
  </sheets>
  <definedNames>
    <definedName name="_xlnm._FilterDatabase" localSheetId="1" hidden="1">'1 эт.'!$A$2:$F$152</definedName>
    <definedName name="_xlnm._FilterDatabase" localSheetId="0" hidden="1">'-1 эт.'!$A$2:$F$68</definedName>
    <definedName name="_xlnm._FilterDatabase" localSheetId="2" hidden="1">'2 эт.'!$A$2:$F$139</definedName>
    <definedName name="_xlnm._FilterDatabase" localSheetId="3" hidden="1">'3 эт.'!$A$2:$F$48</definedName>
    <definedName name="_xlnm._FilterDatabase" localSheetId="5" hidden="1">ЩО_ЩОА!$D$1:$D$24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6" i="8" l="1"/>
  <c r="E156" i="8"/>
  <c r="G154" i="8"/>
  <c r="E154" i="8"/>
  <c r="G137" i="8"/>
  <c r="E137" i="8"/>
  <c r="E135" i="8"/>
  <c r="G97" i="8"/>
  <c r="E97" i="8"/>
  <c r="G96" i="8"/>
  <c r="E96" i="8"/>
  <c r="G95" i="8"/>
  <c r="E95" i="8"/>
  <c r="G30" i="8"/>
  <c r="F163" i="8" s="1"/>
  <c r="E30" i="8"/>
  <c r="F160" i="8" s="1"/>
  <c r="G29" i="8"/>
  <c r="F162" i="8" s="1"/>
  <c r="E29" i="8"/>
  <c r="F159" i="8" s="1"/>
  <c r="G28" i="8"/>
  <c r="F161" i="8" s="1"/>
  <c r="E28" i="8"/>
  <c r="F158" i="8" s="1"/>
  <c r="E48" i="6"/>
  <c r="E139" i="5" l="1"/>
  <c r="F48" i="6"/>
  <c r="F139" i="5"/>
</calcChain>
</file>

<file path=xl/sharedStrings.xml><?xml version="1.0" encoding="utf-8"?>
<sst xmlns="http://schemas.openxmlformats.org/spreadsheetml/2006/main" count="2246" uniqueCount="652">
  <si>
    <t xml:space="preserve"> </t>
  </si>
  <si>
    <t>№</t>
  </si>
  <si>
    <t>Наименование</t>
  </si>
  <si>
    <t>Душевая м</t>
  </si>
  <si>
    <t>Душевая ж</t>
  </si>
  <si>
    <t>ПУИ</t>
  </si>
  <si>
    <t>Электрощитовая</t>
  </si>
  <si>
    <t>Венткамера</t>
  </si>
  <si>
    <t>Помещение СС</t>
  </si>
  <si>
    <t>Компрессорная</t>
  </si>
  <si>
    <t>ИТП</t>
  </si>
  <si>
    <t>Коридор служебный</t>
  </si>
  <si>
    <t>Технический коридор</t>
  </si>
  <si>
    <t>Насосная</t>
  </si>
  <si>
    <t>Комната приема пищи</t>
  </si>
  <si>
    <t>Серверная</t>
  </si>
  <si>
    <t>Холл</t>
  </si>
  <si>
    <t>Коридор безопасности</t>
  </si>
  <si>
    <t>Тип управления</t>
  </si>
  <si>
    <t>нет управления</t>
  </si>
  <si>
    <t>Датчики движения в разрыве питания обычных светильников</t>
  </si>
  <si>
    <t>Датчики присутствия и/или движения по протоколу DALI, светильники обычные</t>
  </si>
  <si>
    <t>Датчики присутствия и/или движения по протоколу DALI, светильники DALI</t>
  </si>
  <si>
    <t>Сценарное управление по протоколу DALI, светильники DALI</t>
  </si>
  <si>
    <t>1</t>
  </si>
  <si>
    <t>2</t>
  </si>
  <si>
    <t>3</t>
  </si>
  <si>
    <t>4</t>
  </si>
  <si>
    <t>0</t>
  </si>
  <si>
    <t>Тип управления с учетом ЭО</t>
  </si>
  <si>
    <t>Вестибюль</t>
  </si>
  <si>
    <t>Электрощитовая ГРЩ</t>
  </si>
  <si>
    <t>Диспетчерская</t>
  </si>
  <si>
    <t>Тамбур</t>
  </si>
  <si>
    <t>Коридор</t>
  </si>
  <si>
    <t>Кейтеринг</t>
  </si>
  <si>
    <t>Кладовая сухих продуктов</t>
  </si>
  <si>
    <t>Душевая</t>
  </si>
  <si>
    <t>Досмотровая</t>
  </si>
  <si>
    <t>Гардероб</t>
  </si>
  <si>
    <t>Кладовая</t>
  </si>
  <si>
    <t>Конференц-зал</t>
  </si>
  <si>
    <t>Кол-во светильников</t>
  </si>
  <si>
    <t>ИТОГО</t>
  </si>
  <si>
    <t>0.1</t>
  </si>
  <si>
    <t>0.2</t>
  </si>
  <si>
    <t>0.3</t>
  </si>
  <si>
    <t>0.4</t>
  </si>
  <si>
    <t>0.5</t>
  </si>
  <si>
    <t>0.6</t>
  </si>
  <si>
    <t>0.8</t>
  </si>
  <si>
    <t>0.9</t>
  </si>
  <si>
    <t>0.10</t>
  </si>
  <si>
    <t>0.15</t>
  </si>
  <si>
    <t>0.15.1</t>
  </si>
  <si>
    <t>0.16</t>
  </si>
  <si>
    <t>0.17</t>
  </si>
  <si>
    <t>0.18</t>
  </si>
  <si>
    <t>0.20</t>
  </si>
  <si>
    <t>0.24</t>
  </si>
  <si>
    <t>0.28</t>
  </si>
  <si>
    <t>0.29</t>
  </si>
  <si>
    <t>0.34</t>
  </si>
  <si>
    <t>0.37</t>
  </si>
  <si>
    <t>0.41</t>
  </si>
  <si>
    <t>0.42</t>
  </si>
  <si>
    <t>0.43</t>
  </si>
  <si>
    <t>0.50</t>
  </si>
  <si>
    <t>0.51</t>
  </si>
  <si>
    <t>0.53</t>
  </si>
  <si>
    <t>0.54</t>
  </si>
  <si>
    <t>0.57</t>
  </si>
  <si>
    <t>0.58</t>
  </si>
  <si>
    <t>0.59</t>
  </si>
  <si>
    <t>0.60</t>
  </si>
  <si>
    <t>0.61</t>
  </si>
  <si>
    <t>0.63</t>
  </si>
  <si>
    <t>0.65</t>
  </si>
  <si>
    <t>0.71</t>
  </si>
  <si>
    <t>0.73</t>
  </si>
  <si>
    <t>Камера хранения</t>
  </si>
  <si>
    <t>Кладовая вестибюля</t>
  </si>
  <si>
    <t>Лифтовой холл / ПБЗ для МГН</t>
  </si>
  <si>
    <t>Комната хранения оружия, особо ценных вещей</t>
  </si>
  <si>
    <t>Комната матери и ребенка</t>
  </si>
  <si>
    <t>С/у мужской</t>
  </si>
  <si>
    <t>С/у женский</t>
  </si>
  <si>
    <t>С/у универсальный</t>
  </si>
  <si>
    <t>ЛК</t>
  </si>
  <si>
    <t>0.30</t>
  </si>
  <si>
    <t>С/у служебный м/ж</t>
  </si>
  <si>
    <t>Помещение провайдера</t>
  </si>
  <si>
    <t>Канализационная насосная станция</t>
  </si>
  <si>
    <t xml:space="preserve">Коридор  </t>
  </si>
  <si>
    <t xml:space="preserve"> Экспликация помещений на - 1 эт. на отметке -4,500</t>
  </si>
  <si>
    <t>1.1</t>
  </si>
  <si>
    <t>1.1.1</t>
  </si>
  <si>
    <t>1.2</t>
  </si>
  <si>
    <t>1.2.1</t>
  </si>
  <si>
    <t>1.3</t>
  </si>
  <si>
    <t>1.4</t>
  </si>
  <si>
    <t>1.5</t>
  </si>
  <si>
    <t>1.6</t>
  </si>
  <si>
    <t>1.7</t>
  </si>
  <si>
    <t>1.8</t>
  </si>
  <si>
    <t>1.9</t>
  </si>
  <si>
    <t>1.9.1</t>
  </si>
  <si>
    <t>1.9.2</t>
  </si>
  <si>
    <t>1.12</t>
  </si>
  <si>
    <t>1.13.1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</si>
  <si>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</si>
  <si>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</si>
  <si>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</si>
  <si>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</si>
  <si>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</si>
  <si>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</si>
  <si>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</si>
  <si>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</si>
  <si>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</si>
  <si>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</si>
  <si>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</si>
  <si>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</si>
  <si>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</si>
  <si>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</si>
  <si>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</si>
  <si>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</si>
  <si>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</si>
  <si>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</si>
  <si>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</si>
  <si>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</si>
  <si>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</si>
  <si>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</si>
  <si>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</si>
  <si>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</si>
  <si>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</si>
  <si>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</si>
  <si>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</si>
  <si>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</si>
  <si>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</si>
  <si>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</si>
  <si>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</si>
  <si>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</si>
  <si>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</si>
  <si>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</si>
  <si>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</si>
  <si>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</si>
  <si>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</si>
  <si>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</si>
  <si>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</si>
  <si>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</si>
  <si>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</si>
  <si>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1.56</t>
  </si>
  <si>
    <t>1.57</t>
  </si>
  <si>
    <t>1.58</t>
  </si>
  <si>
    <t>1.59</t>
  </si>
  <si>
    <t>1.60</t>
  </si>
  <si>
    <t>1.60.1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</si>
  <si>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</si>
  <si>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</si>
  <si>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</si>
  <si>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</si>
  <si>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</si>
  <si>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</si>
  <si>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</si>
  <si>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</si>
  <si>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</si>
  <si>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</si>
  <si>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</si>
  <si>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</si>
  <si>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1.74</t>
  </si>
  <si>
    <t>1.76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</si>
  <si>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</si>
  <si>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</si>
  <si>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</si>
  <si>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</si>
  <si>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</si>
  <si>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</si>
  <si>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</si>
  <si>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</si>
  <si>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</si>
  <si>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1.88</t>
  </si>
  <si>
    <t>1.90</t>
  </si>
  <si>
    <t>1.91</t>
  </si>
  <si>
    <t>1.92</t>
  </si>
  <si>
    <t>1.93</t>
  </si>
  <si>
    <t>1.93.2</t>
  </si>
  <si>
    <t>1.93.3</t>
  </si>
  <si>
    <t>1.93.4</t>
  </si>
  <si>
    <t>1.94</t>
  </si>
  <si>
    <t>1.95</t>
  </si>
  <si>
    <t>1.96</t>
  </si>
  <si>
    <t>1.99</t>
  </si>
  <si>
    <t>1.100</t>
  </si>
  <si>
    <t>1.101</t>
  </si>
  <si>
    <t>1.102</t>
  </si>
  <si>
    <t>1.103</t>
  </si>
  <si>
    <t>1.104</t>
  </si>
  <si>
    <t>1.105</t>
  </si>
  <si>
    <t>1.105.1</t>
  </si>
  <si>
    <t>1.106</t>
  </si>
  <si>
    <t>1.106.1</t>
  </si>
  <si>
    <t>1.106.2</t>
  </si>
  <si>
    <t>1.107</t>
  </si>
  <si>
    <t>1.107.1</t>
  </si>
  <si>
    <t>1.107.2</t>
  </si>
  <si>
    <t>1.108</t>
  </si>
  <si>
    <t>1.108.1</t>
  </si>
  <si>
    <t>1.108.2</t>
  </si>
  <si>
    <t>1.109</t>
  </si>
  <si>
    <t>1.109.1</t>
  </si>
  <si>
    <t>1.109.2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</si>
  <si>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</si>
  <si>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</si>
  <si>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</si>
  <si>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</si>
  <si>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</si>
  <si>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</si>
  <si>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</si>
  <si>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</si>
  <si>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</si>
  <si>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</si>
  <si>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</si>
  <si>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</si>
  <si>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</si>
  <si>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</si>
  <si>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</si>
  <si>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</si>
  <si>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1.125.1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</si>
  <si>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</si>
  <si>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</si>
  <si>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</si>
  <si>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</si>
  <si>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</si>
  <si>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</si>
  <si>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</si>
  <si>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</si>
  <si>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</si>
  <si>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</si>
  <si>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</si>
  <si>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</si>
  <si>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</si>
  <si>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</si>
  <si>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</si>
  <si>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</si>
  <si>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</si>
  <si>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Пом. Охраны</t>
  </si>
  <si>
    <t>Пожарный пост</t>
  </si>
  <si>
    <t>Комната приема пищи охрана</t>
  </si>
  <si>
    <t>Комната отдыха охрана</t>
  </si>
  <si>
    <t>С/у служебный</t>
  </si>
  <si>
    <t xml:space="preserve">Комната приема пищи </t>
  </si>
  <si>
    <t>С/у м</t>
  </si>
  <si>
    <t>С/у ж</t>
  </si>
  <si>
    <t>ПУИ для детской игровой комнаты</t>
  </si>
  <si>
    <t>ПУИ с местом приготовления растворов</t>
  </si>
  <si>
    <t>Кабинет дежурного врача</t>
  </si>
  <si>
    <t>С/у</t>
  </si>
  <si>
    <t>Детская игровая комната</t>
  </si>
  <si>
    <t>Переговорная выставочной зоны</t>
  </si>
  <si>
    <t>Зона ресепшн</t>
  </si>
  <si>
    <t>Пом. Убор.машин</t>
  </si>
  <si>
    <t>Вестибюль конгресс-зоны</t>
  </si>
  <si>
    <t>Переговорная конгресс-зоны</t>
  </si>
  <si>
    <t>Конгресс-зал</t>
  </si>
  <si>
    <t>Помещение мультимедиа</t>
  </si>
  <si>
    <t>Служебный коридор</t>
  </si>
  <si>
    <t>Кладовая конгресс-зоны</t>
  </si>
  <si>
    <t>Помещение холодильных камер</t>
  </si>
  <si>
    <t>Загрузочная с площадкой</t>
  </si>
  <si>
    <t>Машинный зал-центр обработки данных</t>
  </si>
  <si>
    <t>Техническое помещение ЦОД</t>
  </si>
  <si>
    <t>ИБП ЦОД</t>
  </si>
  <si>
    <t>Оператор связи (провайдер)</t>
  </si>
  <si>
    <t>Помещение холодильного оборудования</t>
  </si>
  <si>
    <t>Сбор мусора</t>
  </si>
  <si>
    <t>Загрузка пищеблока</t>
  </si>
  <si>
    <t>ПУИ пищеблок</t>
  </si>
  <si>
    <t>Инвентарная</t>
  </si>
  <si>
    <t>Раздевалка клининга М1б</t>
  </si>
  <si>
    <t>Раздевалка клининга Ж1б</t>
  </si>
  <si>
    <t>С/уж</t>
  </si>
  <si>
    <t>Пост охраны служебная зона</t>
  </si>
  <si>
    <t>Помещение выдачи пропусков</t>
  </si>
  <si>
    <t>Выставочное пространство</t>
  </si>
  <si>
    <t xml:space="preserve"> Экспликация помещений на 1 эт. на отметке 0,000</t>
  </si>
  <si>
    <t xml:space="preserve"> Экспликация помещений на 2 эт. на отметке +5,850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</si>
  <si>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</si>
  <si>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</si>
  <si>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</si>
  <si>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</si>
  <si>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</si>
  <si>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</si>
  <si>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</si>
  <si>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</si>
  <si>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</si>
  <si>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</si>
  <si>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</si>
  <si>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</si>
  <si>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</si>
  <si>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2.15</t>
  </si>
  <si>
    <t>2.16</t>
  </si>
  <si>
    <t>2.14.1</t>
  </si>
  <si>
    <t>2.16.1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</si>
  <si>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</si>
  <si>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</si>
  <si>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</si>
  <si>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</si>
  <si>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</si>
  <si>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</si>
  <si>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</si>
  <si>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</si>
  <si>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</si>
  <si>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</si>
  <si>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</si>
  <si>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</si>
  <si>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</si>
  <si>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</si>
  <si>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</si>
  <si>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2.31.1</t>
  </si>
  <si>
    <t>2.32</t>
  </si>
  <si>
    <t>2.33</t>
  </si>
  <si>
    <t>2.34</t>
  </si>
  <si>
    <t>2.35</t>
  </si>
  <si>
    <t>2.36</t>
  </si>
  <si>
    <t>2.37</t>
  </si>
  <si>
    <t>2.38</t>
  </si>
  <si>
    <t>2.38.1</t>
  </si>
  <si>
    <t>2.38.2</t>
  </si>
  <si>
    <t>2.39</t>
  </si>
  <si>
    <t>2.40</t>
  </si>
  <si>
    <t>2.41</t>
  </si>
  <si>
    <t>2.42</t>
  </si>
  <si>
    <t>2.42.1</t>
  </si>
  <si>
    <t>2.42.2</t>
  </si>
  <si>
    <t>2.43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</si>
  <si>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</si>
  <si>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</si>
  <si>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</si>
  <si>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</si>
  <si>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</si>
  <si>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</si>
  <si>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</si>
  <si>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</si>
  <si>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</si>
  <si>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t>2.53</t>
  </si>
  <si>
    <t>2.53.1</t>
  </si>
  <si>
    <t>2.53.2</t>
  </si>
  <si>
    <t>2.54</t>
  </si>
  <si>
    <t>2.54.1</t>
  </si>
  <si>
    <t>2.54.2</t>
  </si>
  <si>
    <t>2.55</t>
  </si>
  <si>
    <t>2.56</t>
  </si>
  <si>
    <t>2.57</t>
  </si>
  <si>
    <t>2.58</t>
  </si>
  <si>
    <t>2.59</t>
  </si>
  <si>
    <t>2.60</t>
  </si>
  <si>
    <t>2.61</t>
  </si>
  <si>
    <t>2.61.2</t>
  </si>
  <si>
    <t>2.61.3</t>
  </si>
  <si>
    <t>2.61.4</t>
  </si>
  <si>
    <t>2.62</t>
  </si>
  <si>
    <t>2.63</t>
  </si>
  <si>
    <t>2.64</t>
  </si>
  <si>
    <t>2.65</t>
  </si>
  <si>
    <t>2.66</t>
  </si>
  <si>
    <t>2.67</t>
  </si>
  <si>
    <t>2.67.1</t>
  </si>
  <si>
    <t>2.68</t>
  </si>
  <si>
    <t>2.69</t>
  </si>
  <si>
    <t>2.70</t>
  </si>
  <si>
    <t>2.71</t>
  </si>
  <si>
    <t>2.72</t>
  </si>
  <si>
    <t>2.73</t>
  </si>
  <si>
    <t>2.74</t>
  </si>
  <si>
    <t>2.75</t>
  </si>
  <si>
    <t>2.76</t>
  </si>
  <si>
    <t>2.77</t>
  </si>
  <si>
    <t>2.78</t>
  </si>
  <si>
    <t>2.79</t>
  </si>
  <si>
    <t>2.80</t>
  </si>
  <si>
    <t>2.81</t>
  </si>
  <si>
    <t>2.82</t>
  </si>
  <si>
    <t>2.83</t>
  </si>
  <si>
    <t>2.84</t>
  </si>
  <si>
    <t>2.85</t>
  </si>
  <si>
    <t>2.86</t>
  </si>
  <si>
    <t>2.87</t>
  </si>
  <si>
    <t>2.87.1</t>
  </si>
  <si>
    <t>2.88</t>
  </si>
  <si>
    <t>2.89</t>
  </si>
  <si>
    <t>2.90</t>
  </si>
  <si>
    <t>2.91</t>
  </si>
  <si>
    <t>2.92</t>
  </si>
  <si>
    <t>2.93</t>
  </si>
  <si>
    <t>2.94</t>
  </si>
  <si>
    <t>2.95</t>
  </si>
  <si>
    <t>2.96</t>
  </si>
  <si>
    <t>2.97</t>
  </si>
  <si>
    <t>2.98</t>
  </si>
  <si>
    <t>2.99</t>
  </si>
  <si>
    <t>2.100</t>
  </si>
  <si>
    <t>2.101</t>
  </si>
  <si>
    <t>2.102</t>
  </si>
  <si>
    <t>2.103</t>
  </si>
  <si>
    <t>2.104</t>
  </si>
  <si>
    <t>2.105</t>
  </si>
  <si>
    <t>2.106</t>
  </si>
  <si>
    <t>2.107</t>
  </si>
  <si>
    <t>2.108</t>
  </si>
  <si>
    <t>2.109</t>
  </si>
  <si>
    <t>2.110</t>
  </si>
  <si>
    <t>2.111</t>
  </si>
  <si>
    <t>2.112</t>
  </si>
  <si>
    <t>2.113</t>
  </si>
  <si>
    <t>2.114</t>
  </si>
  <si>
    <t>2.115</t>
  </si>
  <si>
    <t>2.116</t>
  </si>
  <si>
    <t>2.117</t>
  </si>
  <si>
    <t>2.118</t>
  </si>
  <si>
    <t>2.119</t>
  </si>
  <si>
    <t>2.120</t>
  </si>
  <si>
    <t>2.121</t>
  </si>
  <si>
    <t>Вестибюль с обеденной зоной</t>
  </si>
  <si>
    <t>Моечная кухонной посуды</t>
  </si>
  <si>
    <t>Кладовая кухонной посуды</t>
  </si>
  <si>
    <t>Холодный цех</t>
  </si>
  <si>
    <t>Мучной цех</t>
  </si>
  <si>
    <t>Мясо-рыбный цех</t>
  </si>
  <si>
    <t>Помещение временного хранения отходов</t>
  </si>
  <si>
    <t>Сервизная</t>
  </si>
  <si>
    <t>Место временного хранения тележек с грязной посудой</t>
  </si>
  <si>
    <t>Горячий цех</t>
  </si>
  <si>
    <t>Помещение просеивания муки</t>
  </si>
  <si>
    <t>Цех вторичной обработки овощей</t>
  </si>
  <si>
    <t>Хранение и первичная обработка овощей</t>
  </si>
  <si>
    <t>Помещение для обрабоки яиц</t>
  </si>
  <si>
    <t>Кладовая яиц</t>
  </si>
  <si>
    <t>Кладовая напитков</t>
  </si>
  <si>
    <t>Раздевалка кухни Ж</t>
  </si>
  <si>
    <t>Складская зона кухни</t>
  </si>
  <si>
    <t>Раздевалка кухни М</t>
  </si>
  <si>
    <t xml:space="preserve">Кладовая </t>
  </si>
  <si>
    <t>Помещение зав производством и кладовщика</t>
  </si>
  <si>
    <t>Служебный коридор грязный</t>
  </si>
  <si>
    <t>Раздевалка официантов М</t>
  </si>
  <si>
    <t>Раздеевалка официантов Ж</t>
  </si>
  <si>
    <t>Раздевалка для кейтеринга Ж</t>
  </si>
  <si>
    <t>Раздевалка для кейтеринга М</t>
  </si>
  <si>
    <t>ПУИ конгресс-зоны</t>
  </si>
  <si>
    <t>Кладовая IT</t>
  </si>
  <si>
    <t>Пом мультимедиа</t>
  </si>
  <si>
    <t>Пом навигации</t>
  </si>
  <si>
    <t>Переговорная службы безопасности</t>
  </si>
  <si>
    <t xml:space="preserve">Переговорная </t>
  </si>
  <si>
    <t>Помещение для холодильного оборудования</t>
  </si>
  <si>
    <t>Комната приема пищи 16 чел офис</t>
  </si>
  <si>
    <t>Разд для службы безопасности</t>
  </si>
  <si>
    <t>ПУИ офис</t>
  </si>
  <si>
    <t>Мониторная</t>
  </si>
  <si>
    <t>Служба безопасности</t>
  </si>
  <si>
    <t>ИТ отдел</t>
  </si>
  <si>
    <t>Кабинет инженеров</t>
  </si>
  <si>
    <t>Ситуационный центр</t>
  </si>
  <si>
    <t>Холл конгресс-зоны</t>
  </si>
  <si>
    <t>Машинное отделение лифтов</t>
  </si>
  <si>
    <t>Тех.пом медиаэкрана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</si>
  <si>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</si>
  <si>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</si>
  <si>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</si>
  <si>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</si>
  <si>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</si>
  <si>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</si>
  <si>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</si>
  <si>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</si>
  <si>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</si>
  <si>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3.9.1</t>
  </si>
  <si>
    <t>3.10</t>
  </si>
  <si>
    <t>3.10.1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</si>
  <si>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</si>
  <si>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</si>
  <si>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</si>
  <si>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</si>
  <si>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</si>
  <si>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</si>
  <si>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</si>
  <si>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</si>
  <si>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</si>
  <si>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</si>
  <si>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</si>
  <si>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</si>
  <si>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</si>
  <si>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</si>
  <si>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</si>
  <si>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</si>
  <si>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</si>
  <si>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</si>
  <si>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</si>
  <si>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</si>
  <si>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</si>
  <si>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</si>
  <si>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</si>
  <si>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</si>
  <si>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</si>
  <si>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</si>
  <si>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</si>
  <si>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</si>
  <si>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</si>
  <si>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</si>
  <si>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</si>
  <si>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3.43</t>
  </si>
  <si>
    <t>3.44</t>
  </si>
  <si>
    <t>Холл конференц-зоны</t>
  </si>
  <si>
    <t>Переговорная конференц-зоны</t>
  </si>
  <si>
    <t>Кладовая конференц-зоны</t>
  </si>
  <si>
    <t>Тех.пом для оператора мобильной связи</t>
  </si>
  <si>
    <t xml:space="preserve">Лифтовой холл </t>
  </si>
  <si>
    <t>Прим</t>
  </si>
  <si>
    <t>По письму должно быть 1</t>
  </si>
  <si>
    <t>По письму должно быть 1. Нет контактора</t>
  </si>
  <si>
    <t>По письму должно быть 2. Нет контактора</t>
  </si>
  <si>
    <t>По письму должно быть 0, нет контактора</t>
  </si>
  <si>
    <t>По письму должно быть 0, есть контактор</t>
  </si>
  <si>
    <t>Лифтовой холл</t>
  </si>
  <si>
    <t>По письму должно быть 1, нет освещения вообще</t>
  </si>
  <si>
    <t>Есть контактор</t>
  </si>
  <si>
    <t>+добавить датчики освещенности</t>
  </si>
  <si>
    <t>Нет светильников Dali. Есть контактор</t>
  </si>
  <si>
    <t>Нет контактора</t>
  </si>
  <si>
    <t>По письму должно быть 1. Нет контактора. Нет датчика</t>
  </si>
  <si>
    <t>Установлены контакторы, управление ч/з ПЛК в АДИС</t>
  </si>
  <si>
    <t>5</t>
  </si>
  <si>
    <t>По письму должно быть 1, есть контактор</t>
  </si>
  <si>
    <t>По письму должно быть 2. Есть контактор</t>
  </si>
  <si>
    <t>По письму должно быть 2, нет освещения в схемах</t>
  </si>
  <si>
    <t>По письму должно быть 1. Есть контактор</t>
  </si>
  <si>
    <t>1 контактор на 2 СУ</t>
  </si>
  <si>
    <t>контактор</t>
  </si>
  <si>
    <t>выключатели</t>
  </si>
  <si>
    <t>Нет контактора!</t>
  </si>
  <si>
    <t>ЩО-1.6.1</t>
  </si>
  <si>
    <t>НЕТ ВЫКЛ!</t>
  </si>
  <si>
    <t>Вместе с 2.72</t>
  </si>
  <si>
    <t>Вместе с 2.63</t>
  </si>
  <si>
    <t>DALI</t>
  </si>
  <si>
    <t>1.142-HMI3</t>
  </si>
  <si>
    <t>Выставочное пространство (пом.1.142)</t>
  </si>
  <si>
    <t>1.142-HMI2</t>
  </si>
  <si>
    <t>1.142-HMI1</t>
  </si>
  <si>
    <t>1.76-HMI</t>
  </si>
  <si>
    <t>Конгресс-зал (пом.1.76)</t>
  </si>
  <si>
    <t>1.74-HMI</t>
  </si>
  <si>
    <t>Конгресс-зал (пом.1.74)</t>
  </si>
  <si>
    <t>1.72-HMI</t>
  </si>
  <si>
    <t>Конгресс-зал (пом.1.72)</t>
  </si>
  <si>
    <t>2.105-HMI</t>
  </si>
  <si>
    <t>Конгресс-зал (пом.2.105)</t>
  </si>
  <si>
    <t>2.103-HMI</t>
  </si>
  <si>
    <t>Конгресс-зал (пом.2.103)</t>
  </si>
  <si>
    <t>2.100-HMI</t>
  </si>
  <si>
    <t>Конгресс-зал (пом.2.100)</t>
  </si>
  <si>
    <t>2.97-HMI</t>
  </si>
  <si>
    <t>Конгресс-зал (пом.2.97)</t>
  </si>
  <si>
    <t>3.21-HMI</t>
  </si>
  <si>
    <t>Конференц-зал (пом.3.21)</t>
  </si>
  <si>
    <t>1.71-HMI</t>
  </si>
  <si>
    <t>Переговорная конгресс-зоны (пом.1.71)</t>
  </si>
  <si>
    <t>1.70-HMI</t>
  </si>
  <si>
    <t>Переговорная конгресс-зоны (пом.1.70)</t>
  </si>
  <si>
    <t>1.47-HMI</t>
  </si>
  <si>
    <t>Переговорная выставочной зоны (пом.1.47)</t>
  </si>
  <si>
    <t>1.37-HMI</t>
  </si>
  <si>
    <t>Переговорная выставочной зоны (пом.1.37)</t>
  </si>
  <si>
    <t>1.36-HMI</t>
  </si>
  <si>
    <t>Переговорная выставочной зоны (пом.1.36)</t>
  </si>
  <si>
    <t>1.34-HMI</t>
  </si>
  <si>
    <t>Переговорная выставочной зоны (пом.1.34)</t>
  </si>
  <si>
    <t>1.33-HMI</t>
  </si>
  <si>
    <t>Переговорная выставочной зоны (пом.1.33)</t>
  </si>
  <si>
    <t xml:space="preserve">Панели </t>
  </si>
  <si>
    <t>Помещения</t>
  </si>
  <si>
    <t>Подвал</t>
  </si>
  <si>
    <t>Щит</t>
  </si>
  <si>
    <t>Di</t>
  </si>
  <si>
    <t>Do</t>
  </si>
  <si>
    <t>Сигн-ция 1</t>
  </si>
  <si>
    <t>L линии</t>
  </si>
  <si>
    <t>Упр-е 1</t>
  </si>
  <si>
    <t>ЩО-1</t>
  </si>
  <si>
    <t>7х2</t>
  </si>
  <si>
    <t>4х2</t>
  </si>
  <si>
    <t>ЩАО-1</t>
  </si>
  <si>
    <t>ЩО-2</t>
  </si>
  <si>
    <t>ЩАО-2</t>
  </si>
  <si>
    <t>ЩО-3</t>
  </si>
  <si>
    <t>10х2</t>
  </si>
  <si>
    <t>ЩАО-3</t>
  </si>
  <si>
    <t>ЩО-4</t>
  </si>
  <si>
    <t>ЩАО-4</t>
  </si>
  <si>
    <t>ЩО-5</t>
  </si>
  <si>
    <t>ЩАО-5</t>
  </si>
  <si>
    <t>ЩО-6</t>
  </si>
  <si>
    <t>ЩАО-6</t>
  </si>
  <si>
    <t>FRHF</t>
  </si>
  <si>
    <t>1 этаж</t>
  </si>
  <si>
    <t>ЩО-1.1</t>
  </si>
  <si>
    <t>ЩАО-1.1</t>
  </si>
  <si>
    <t>ЩО-1.2</t>
  </si>
  <si>
    <t>ЩАО-1.2</t>
  </si>
  <si>
    <t>ЩО-1.3</t>
  </si>
  <si>
    <t>ЩАО-1.3</t>
  </si>
  <si>
    <t>ЩО-1.3.1</t>
  </si>
  <si>
    <t>ЩАО-1.3.1</t>
  </si>
  <si>
    <t>ЩО-1.4</t>
  </si>
  <si>
    <t>ЩАО-1.4</t>
  </si>
  <si>
    <t>ЩО-1.4.1</t>
  </si>
  <si>
    <t>ЩАО-1.4.1</t>
  </si>
  <si>
    <t>ЩО-1.5</t>
  </si>
  <si>
    <t>ЩАО-1.5</t>
  </si>
  <si>
    <t>ЩО-1.5.1</t>
  </si>
  <si>
    <t>ЩАО-1.5.1</t>
  </si>
  <si>
    <t>ЩО-1.6</t>
  </si>
  <si>
    <t>ЩАО-1.6</t>
  </si>
  <si>
    <t>ЩАО-1.6.1</t>
  </si>
  <si>
    <t>ЩО-1.7</t>
  </si>
  <si>
    <t>ЩАО-1.7</t>
  </si>
  <si>
    <t>ЩО-1.7.1</t>
  </si>
  <si>
    <t>ЩАО-1.7.1</t>
  </si>
  <si>
    <t>ЩО-1.8</t>
  </si>
  <si>
    <t>ЩАО-1.8</t>
  </si>
  <si>
    <t>ЩО-1.9</t>
  </si>
  <si>
    <t>ЩАО-1.9</t>
  </si>
  <si>
    <t>ЩО-1.10</t>
  </si>
  <si>
    <t>ЩАО-1.10</t>
  </si>
  <si>
    <t>2 этаж</t>
  </si>
  <si>
    <r>
      <t xml:space="preserve">ЩО-2.1
 </t>
    </r>
    <r>
      <rPr>
        <sz val="11"/>
        <color rgb="FFFF0000"/>
        <rFont val="Calibri"/>
        <family val="2"/>
        <charset val="204"/>
        <scheme val="minor"/>
      </rPr>
      <t>(15-резерв)</t>
    </r>
  </si>
  <si>
    <r>
      <t xml:space="preserve">ЩАО-2.1
 </t>
    </r>
    <r>
      <rPr>
        <sz val="11"/>
        <color rgb="FFFF0000"/>
        <rFont val="Calibri"/>
        <family val="2"/>
        <charset val="204"/>
        <scheme val="minor"/>
      </rPr>
      <t>(14-резерв)</t>
    </r>
  </si>
  <si>
    <r>
      <t xml:space="preserve">ЩО-2.2
 </t>
    </r>
    <r>
      <rPr>
        <sz val="11"/>
        <color rgb="FFFF0000"/>
        <rFont val="Calibri"/>
        <family val="2"/>
        <charset val="204"/>
        <scheme val="minor"/>
      </rPr>
      <t>(10-резерв)</t>
    </r>
  </si>
  <si>
    <r>
      <t xml:space="preserve">ЩАО-2.2
 </t>
    </r>
    <r>
      <rPr>
        <sz val="11"/>
        <color rgb="FFFF0000"/>
        <rFont val="Calibri"/>
        <family val="2"/>
        <charset val="204"/>
        <scheme val="minor"/>
      </rPr>
      <t>(11-резерв)</t>
    </r>
  </si>
  <si>
    <r>
      <t xml:space="preserve">ЩО-2.3
 </t>
    </r>
    <r>
      <rPr>
        <sz val="11"/>
        <color rgb="FFFF0000"/>
        <rFont val="Calibri"/>
        <family val="2"/>
        <charset val="204"/>
        <scheme val="minor"/>
      </rPr>
      <t>(9-резерв)</t>
    </r>
  </si>
  <si>
    <r>
      <t xml:space="preserve">ЩАО-2.3
 </t>
    </r>
    <r>
      <rPr>
        <sz val="11"/>
        <color rgb="FFFF0000"/>
        <rFont val="Calibri"/>
        <family val="2"/>
        <charset val="204"/>
        <scheme val="minor"/>
      </rPr>
      <t>(3-резерв)</t>
    </r>
  </si>
  <si>
    <t xml:space="preserve">ЩО-2.4
 </t>
  </si>
  <si>
    <t>3 этаж</t>
  </si>
  <si>
    <r>
      <t xml:space="preserve">ЩО-3.1
 </t>
    </r>
    <r>
      <rPr>
        <sz val="11"/>
        <color rgb="FFFF0000"/>
        <rFont val="Calibri"/>
        <family val="2"/>
        <charset val="204"/>
        <scheme val="minor"/>
      </rPr>
      <t>(10-резерв)</t>
    </r>
  </si>
  <si>
    <r>
      <t xml:space="preserve">ЩАО-3.1
 </t>
    </r>
    <r>
      <rPr>
        <sz val="11"/>
        <color rgb="FFFF0000"/>
        <rFont val="Calibri"/>
        <family val="2"/>
        <charset val="204"/>
        <scheme val="minor"/>
      </rPr>
      <t>(8-резерв)</t>
    </r>
  </si>
  <si>
    <r>
      <t xml:space="preserve">ЩО-3.2
 </t>
    </r>
    <r>
      <rPr>
        <sz val="11"/>
        <color rgb="FFFF0000"/>
        <rFont val="Calibri"/>
        <family val="2"/>
        <charset val="204"/>
        <scheme val="minor"/>
      </rPr>
      <t>(2-резерв)</t>
    </r>
  </si>
  <si>
    <r>
      <t xml:space="preserve">ЩАО-3.2
 </t>
    </r>
    <r>
      <rPr>
        <sz val="11"/>
        <color rgb="FFFF0000"/>
        <rFont val="Calibri"/>
        <family val="2"/>
        <charset val="204"/>
        <scheme val="minor"/>
      </rPr>
      <t>(4-резерв)
2 - указ. ПК</t>
    </r>
  </si>
  <si>
    <t>ИТОГО:</t>
  </si>
  <si>
    <t>нг(А)-HF</t>
  </si>
  <si>
    <t>4х2х0.75</t>
  </si>
  <si>
    <t>7х2х0.75</t>
  </si>
  <si>
    <t>10х2х0.75</t>
  </si>
  <si>
    <t>FR-HF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</si>
</sst>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/>
    <xf numFmtId="49" fontId="1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49" fontId="16" fillId="0" borderId="0" xfId="0" applyNumberFormat="1" applyFont="1" applyAlignment="1">
      <alignment horizontal="center"/>
    </xf>
    <xf numFmtId="0" fontId="18" fillId="0" borderId="0" xfId="0" applyFont="1"/>
    <xf numFmtId="49" fontId="14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/>
    </xf>
    <xf numFmtId="0" fontId="0" fillId="33" borderId="0" xfId="0" applyFill="1"/>
    <xf numFmtId="0" fontId="0" fillId="0" borderId="0" xfId="0" applyAlignment="1">
      <alignment horizontal="left" vertical="center"/>
    </xf>
    <xf numFmtId="0" fontId="18" fillId="33" borderId="0" xfId="0" applyFont="1" applyFill="1"/>
    <xf numFmtId="49" fontId="16" fillId="34" borderId="0" xfId="0" applyNumberFormat="1" applyFont="1" applyFill="1" applyAlignment="1">
      <alignment horizontal="center" vertical="center" wrapText="1"/>
    </xf>
    <xf numFmtId="49" fontId="0" fillId="34" borderId="0" xfId="0" applyNumberFormat="1" applyFill="1" applyAlignment="1">
      <alignment horizontal="center"/>
    </xf>
    <xf numFmtId="49" fontId="14" fillId="34" borderId="0" xfId="0" applyNumberFormat="1" applyFont="1" applyFill="1" applyAlignment="1">
      <alignment horizontal="center"/>
    </xf>
    <xf numFmtId="49" fontId="18" fillId="34" borderId="0" xfId="0" applyNumberFormat="1" applyFont="1" applyFill="1" applyAlignment="1">
      <alignment horizontal="center"/>
    </xf>
    <xf numFmtId="49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left" vertical="center"/>
    </xf>
    <xf numFmtId="49" fontId="18" fillId="33" borderId="0" xfId="0" applyNumberFormat="1" applyFont="1" applyFill="1" applyAlignment="1">
      <alignment horizontal="center"/>
    </xf>
    <xf numFmtId="49" fontId="0" fillId="33" borderId="0" xfId="0" applyNumberFormat="1" applyFill="1" applyAlignment="1">
      <alignment horizontal="center"/>
    </xf>
    <xf numFmtId="49" fontId="18" fillId="33" borderId="0" xfId="0" applyNumberFormat="1" applyFont="1" applyFill="1" applyAlignment="1">
      <alignment horizontal="center" vertical="center"/>
    </xf>
    <xf numFmtId="0" fontId="18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0" fillId="0" borderId="0" xfId="0" quotePrefix="1" applyAlignment="1">
      <alignment horizontal="left" vertical="center"/>
    </xf>
    <xf numFmtId="49" fontId="0" fillId="35" borderId="0" xfId="0" applyNumberFormat="1" applyFill="1" applyAlignment="1">
      <alignment horizontal="center" vertical="center"/>
    </xf>
    <xf numFmtId="49" fontId="0" fillId="36" borderId="0" xfId="0" applyNumberFormat="1" applyFill="1" applyAlignment="1">
      <alignment horizontal="center" vertical="center"/>
    </xf>
    <xf numFmtId="49" fontId="0" fillId="37" borderId="0" xfId="0" applyNumberFormat="1" applyFill="1" applyAlignment="1">
      <alignment horizontal="center" vertical="center"/>
    </xf>
    <xf numFmtId="0" fontId="0" fillId="0" borderId="10" xfId="0" applyBorder="1"/>
    <xf numFmtId="49" fontId="20" fillId="34" borderId="10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33" borderId="0" xfId="0" applyFill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38" borderId="12" xfId="0" applyFill="1" applyBorder="1" applyAlignment="1">
      <alignment horizontal="center" vertical="center"/>
    </xf>
    <xf numFmtId="0" fontId="0" fillId="39" borderId="12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38" borderId="13" xfId="0" applyFill="1" applyBorder="1" applyAlignment="1">
      <alignment horizontal="center" vertical="center"/>
    </xf>
    <xf numFmtId="0" fontId="0" fillId="39" borderId="13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38" borderId="11" xfId="0" applyFill="1" applyBorder="1" applyAlignment="1">
      <alignment horizontal="center" vertical="center"/>
    </xf>
    <xf numFmtId="0" fontId="0" fillId="39" borderId="11" xfId="0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8" borderId="12" xfId="0" applyFill="1" applyBorder="1" applyAlignment="1">
      <alignment horizontal="center" vertical="center"/>
    </xf>
    <xf numFmtId="0" fontId="0" fillId="39" borderId="12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zoomScale="70" zoomScaleNormal="70" workbookViewId="0">
      <pane ySplit="2" topLeftCell="A3" activePane="bottomLeft" state="frozen"/>
      <selection pane="bottomLeft" activeCell="H29" sqref="H29"/>
    </sheetView>
  </sheetViews>
  <sheetFormatPr defaultRowHeight="14.5" x14ac:dyDescent="0.35"/>
  <cols>
    <col min="1" max="1" width="13.453125" style="1" customWidth="1"/>
    <col min="2" max="2" width="64" bestFit="1" customWidth="1"/>
    <col min="3" max="3" width="14" style="17" customWidth="1"/>
    <col min="4" max="4" width="14" style="1" customWidth="1"/>
    <col min="5" max="5" width="16.81640625" style="1" customWidth="1"/>
    <col min="6" max="6" width="55.54296875" customWidth="1"/>
    <col min="7" max="7" width="14.54296875" style="2" bestFit="1" customWidth="1"/>
    <col min="8" max="8" width="71.1796875" bestFit="1" customWidth="1"/>
  </cols>
  <sheetData>
    <row r="1" spans="1:8" x14ac:dyDescent="0.35">
      <c r="A1" s="43" t="s">
        <v>94</v>
      </c>
      <c r="B1" s="43"/>
      <c r="C1" s="15" t="s">
        <v>0</v>
      </c>
      <c r="D1" s="1" t="s">
        <v>0</v>
      </c>
    </row>
    <row r="2" spans="1:8" ht="43.5" x14ac:dyDescent="0.35">
      <c r="A2" s="3" t="s">
        <v>1</v>
      </c>
      <c r="B2" s="10" t="s">
        <v>2</v>
      </c>
      <c r="C2" s="16" t="s">
        <v>18</v>
      </c>
      <c r="D2" s="25" t="s">
        <v>29</v>
      </c>
      <c r="E2" s="9" t="s">
        <v>42</v>
      </c>
      <c r="F2" s="9" t="s">
        <v>516</v>
      </c>
      <c r="G2" s="4" t="s">
        <v>18</v>
      </c>
      <c r="H2" s="5"/>
    </row>
    <row r="3" spans="1:8" x14ac:dyDescent="0.35">
      <c r="A3" s="1" t="s">
        <v>44</v>
      </c>
      <c r="B3" t="s">
        <v>16</v>
      </c>
      <c r="C3" s="17" t="s">
        <v>27</v>
      </c>
      <c r="D3" s="26" t="s">
        <v>27</v>
      </c>
      <c r="E3" s="8" t="s">
        <v>543</v>
      </c>
      <c r="G3" s="4">
        <v>0</v>
      </c>
      <c r="H3" s="5" t="s">
        <v>19</v>
      </c>
    </row>
    <row r="4" spans="1:8" x14ac:dyDescent="0.35">
      <c r="A4" s="1" t="s">
        <v>45</v>
      </c>
      <c r="B4" t="s">
        <v>80</v>
      </c>
      <c r="C4" s="14" t="s">
        <v>25</v>
      </c>
      <c r="D4" s="27">
        <v>0</v>
      </c>
      <c r="E4" s="8"/>
      <c r="F4" s="18" t="s">
        <v>533</v>
      </c>
      <c r="G4" s="4">
        <v>1</v>
      </c>
      <c r="H4" s="5" t="s">
        <v>20</v>
      </c>
    </row>
    <row r="5" spans="1:8" x14ac:dyDescent="0.35">
      <c r="A5" s="1" t="s">
        <v>46</v>
      </c>
      <c r="B5" t="s">
        <v>39</v>
      </c>
      <c r="C5" s="17" t="s">
        <v>27</v>
      </c>
      <c r="D5" s="26" t="s">
        <v>27</v>
      </c>
      <c r="E5" s="8" t="s">
        <v>543</v>
      </c>
      <c r="G5" s="4">
        <v>2</v>
      </c>
      <c r="H5" s="5" t="s">
        <v>21</v>
      </c>
    </row>
    <row r="6" spans="1:8" x14ac:dyDescent="0.35">
      <c r="A6" s="1" t="s">
        <v>47</v>
      </c>
      <c r="B6" t="s">
        <v>81</v>
      </c>
      <c r="C6" s="14" t="s">
        <v>25</v>
      </c>
      <c r="D6" s="26">
        <v>0</v>
      </c>
      <c r="E6" s="8"/>
      <c r="F6" s="18" t="s">
        <v>518</v>
      </c>
      <c r="G6" s="4">
        <v>3</v>
      </c>
      <c r="H6" s="5" t="s">
        <v>22</v>
      </c>
    </row>
    <row r="7" spans="1:8" x14ac:dyDescent="0.35">
      <c r="A7" s="1" t="s">
        <v>48</v>
      </c>
      <c r="B7" t="s">
        <v>522</v>
      </c>
      <c r="C7" s="14" t="s">
        <v>28</v>
      </c>
      <c r="D7" s="27" t="s">
        <v>530</v>
      </c>
      <c r="E7" s="8"/>
      <c r="F7" s="18" t="s">
        <v>531</v>
      </c>
      <c r="G7" s="4">
        <v>4</v>
      </c>
      <c r="H7" s="5" t="s">
        <v>23</v>
      </c>
    </row>
    <row r="8" spans="1:8" x14ac:dyDescent="0.35">
      <c r="A8" s="1" t="s">
        <v>49</v>
      </c>
      <c r="B8" t="s">
        <v>83</v>
      </c>
      <c r="C8" s="14" t="s">
        <v>25</v>
      </c>
      <c r="D8" s="27">
        <v>0</v>
      </c>
      <c r="E8" s="8"/>
      <c r="F8" s="18" t="s">
        <v>520</v>
      </c>
      <c r="G8" s="4">
        <v>5</v>
      </c>
      <c r="H8" s="5" t="s">
        <v>529</v>
      </c>
    </row>
    <row r="9" spans="1:8" x14ac:dyDescent="0.35">
      <c r="A9" s="1" t="s">
        <v>50</v>
      </c>
      <c r="B9" t="s">
        <v>84</v>
      </c>
      <c r="C9" s="14" t="s">
        <v>25</v>
      </c>
      <c r="D9" s="26">
        <v>0</v>
      </c>
      <c r="E9" s="8"/>
      <c r="F9" s="18" t="s">
        <v>518</v>
      </c>
    </row>
    <row r="10" spans="1:8" x14ac:dyDescent="0.35">
      <c r="A10" s="1" t="s">
        <v>51</v>
      </c>
      <c r="B10" t="s">
        <v>5</v>
      </c>
      <c r="C10" s="14" t="s">
        <v>24</v>
      </c>
      <c r="D10" s="27">
        <v>0</v>
      </c>
      <c r="E10" s="8"/>
      <c r="F10" s="18" t="s">
        <v>528</v>
      </c>
    </row>
    <row r="11" spans="1:8" x14ac:dyDescent="0.35">
      <c r="A11" s="1" t="s">
        <v>52</v>
      </c>
      <c r="B11" t="s">
        <v>85</v>
      </c>
      <c r="C11" s="17" t="s">
        <v>25</v>
      </c>
      <c r="D11" s="26" t="s">
        <v>25</v>
      </c>
      <c r="E11" s="8"/>
    </row>
    <row r="12" spans="1:8" x14ac:dyDescent="0.35">
      <c r="A12" s="1" t="s">
        <v>53</v>
      </c>
      <c r="B12" t="s">
        <v>86</v>
      </c>
      <c r="C12" s="17" t="s">
        <v>25</v>
      </c>
      <c r="D12" s="26" t="s">
        <v>25</v>
      </c>
      <c r="E12" s="8"/>
    </row>
    <row r="13" spans="1:8" x14ac:dyDescent="0.35">
      <c r="A13" s="1" t="s">
        <v>54</v>
      </c>
      <c r="B13" t="s">
        <v>87</v>
      </c>
      <c r="C13" s="14" t="s">
        <v>28</v>
      </c>
      <c r="D13" s="27">
        <v>0</v>
      </c>
      <c r="E13" s="8"/>
      <c r="F13" s="18" t="s">
        <v>519</v>
      </c>
    </row>
    <row r="14" spans="1:8" x14ac:dyDescent="0.35">
      <c r="A14" s="1" t="s">
        <v>55</v>
      </c>
      <c r="B14" t="s">
        <v>5</v>
      </c>
      <c r="C14" s="17" t="s">
        <v>24</v>
      </c>
      <c r="D14" s="26">
        <v>0</v>
      </c>
      <c r="E14" s="8"/>
    </row>
    <row r="15" spans="1:8" x14ac:dyDescent="0.35">
      <c r="A15" s="1" t="s">
        <v>56</v>
      </c>
      <c r="B15" t="s">
        <v>84</v>
      </c>
      <c r="C15" s="14" t="s">
        <v>25</v>
      </c>
      <c r="D15" s="26">
        <v>0</v>
      </c>
      <c r="E15" s="8"/>
      <c r="F15" s="18" t="s">
        <v>518</v>
      </c>
    </row>
    <row r="16" spans="1:8" x14ac:dyDescent="0.35">
      <c r="A16" s="1" t="s">
        <v>57</v>
      </c>
      <c r="B16" t="s">
        <v>82</v>
      </c>
      <c r="C16" s="14" t="s">
        <v>28</v>
      </c>
      <c r="D16" s="27" t="s">
        <v>530</v>
      </c>
      <c r="E16" s="8"/>
      <c r="F16" s="18" t="s">
        <v>521</v>
      </c>
    </row>
    <row r="17" spans="1:6" x14ac:dyDescent="0.35">
      <c r="A17" s="1" t="s">
        <v>58</v>
      </c>
      <c r="B17" t="s">
        <v>17</v>
      </c>
      <c r="C17" s="17" t="s">
        <v>25</v>
      </c>
      <c r="D17" s="26" t="s">
        <v>25</v>
      </c>
      <c r="E17" s="8"/>
      <c r="F17" t="s">
        <v>517</v>
      </c>
    </row>
    <row r="18" spans="1:6" x14ac:dyDescent="0.35">
      <c r="A18" s="1" t="s">
        <v>59</v>
      </c>
      <c r="B18" t="s">
        <v>8</v>
      </c>
      <c r="C18" s="14" t="s">
        <v>25</v>
      </c>
      <c r="D18" s="27">
        <v>0</v>
      </c>
      <c r="E18" s="8"/>
      <c r="F18" s="18" t="s">
        <v>519</v>
      </c>
    </row>
    <row r="19" spans="1:6" x14ac:dyDescent="0.35">
      <c r="A19" s="1" t="s">
        <v>60</v>
      </c>
      <c r="B19" t="s">
        <v>6</v>
      </c>
      <c r="C19" s="14" t="s">
        <v>25</v>
      </c>
      <c r="D19" s="27">
        <v>0</v>
      </c>
      <c r="E19" s="8"/>
      <c r="F19" s="18" t="s">
        <v>519</v>
      </c>
    </row>
    <row r="20" spans="1:6" x14ac:dyDescent="0.35">
      <c r="A20" s="1" t="s">
        <v>61</v>
      </c>
      <c r="B20" t="s">
        <v>81</v>
      </c>
      <c r="C20" s="14" t="s">
        <v>25</v>
      </c>
      <c r="D20" s="26">
        <v>0</v>
      </c>
      <c r="E20" s="8"/>
      <c r="F20" s="18" t="s">
        <v>518</v>
      </c>
    </row>
    <row r="21" spans="1:6" x14ac:dyDescent="0.35">
      <c r="A21" s="1" t="s">
        <v>89</v>
      </c>
      <c r="B21" t="s">
        <v>91</v>
      </c>
      <c r="C21" s="14" t="s">
        <v>25</v>
      </c>
      <c r="D21" s="27">
        <v>0</v>
      </c>
      <c r="E21" s="8"/>
      <c r="F21" s="18" t="s">
        <v>519</v>
      </c>
    </row>
    <row r="22" spans="1:6" x14ac:dyDescent="0.35">
      <c r="A22" s="1" t="s">
        <v>62</v>
      </c>
      <c r="B22" t="s">
        <v>6</v>
      </c>
      <c r="C22" s="14" t="s">
        <v>25</v>
      </c>
      <c r="D22" s="27">
        <v>0</v>
      </c>
      <c r="E22" s="8"/>
      <c r="F22" s="18" t="s">
        <v>519</v>
      </c>
    </row>
    <row r="23" spans="1:6" x14ac:dyDescent="0.35">
      <c r="A23" s="1" t="s">
        <v>63</v>
      </c>
      <c r="B23" t="s">
        <v>13</v>
      </c>
      <c r="C23" s="14" t="s">
        <v>25</v>
      </c>
      <c r="D23" s="27">
        <v>0</v>
      </c>
      <c r="E23" s="8"/>
      <c r="F23" s="18" t="s">
        <v>519</v>
      </c>
    </row>
    <row r="24" spans="1:6" x14ac:dyDescent="0.35">
      <c r="A24" s="1" t="s">
        <v>64</v>
      </c>
      <c r="B24" t="s">
        <v>6</v>
      </c>
      <c r="C24" s="14" t="s">
        <v>25</v>
      </c>
      <c r="D24" s="27">
        <v>0</v>
      </c>
      <c r="E24" s="8"/>
      <c r="F24" s="18" t="s">
        <v>519</v>
      </c>
    </row>
    <row r="25" spans="1:6" x14ac:dyDescent="0.35">
      <c r="A25" s="1" t="s">
        <v>65</v>
      </c>
      <c r="B25" t="s">
        <v>8</v>
      </c>
      <c r="C25" s="14" t="s">
        <v>25</v>
      </c>
      <c r="D25" s="27">
        <v>0</v>
      </c>
      <c r="E25" s="8"/>
      <c r="F25" s="18" t="s">
        <v>519</v>
      </c>
    </row>
    <row r="26" spans="1:6" x14ac:dyDescent="0.35">
      <c r="A26" s="1" t="s">
        <v>66</v>
      </c>
      <c r="B26" t="s">
        <v>9</v>
      </c>
      <c r="C26" s="14" t="s">
        <v>25</v>
      </c>
      <c r="D26" s="27">
        <v>0</v>
      </c>
      <c r="E26" s="8"/>
      <c r="F26" s="18" t="s">
        <v>519</v>
      </c>
    </row>
    <row r="27" spans="1:6" x14ac:dyDescent="0.35">
      <c r="A27" s="1" t="s">
        <v>67</v>
      </c>
      <c r="B27" t="s">
        <v>8</v>
      </c>
      <c r="C27" s="14" t="s">
        <v>25</v>
      </c>
      <c r="D27" s="27">
        <v>0</v>
      </c>
      <c r="E27" s="8"/>
      <c r="F27" s="18" t="s">
        <v>519</v>
      </c>
    </row>
    <row r="28" spans="1:6" x14ac:dyDescent="0.35">
      <c r="A28" s="1" t="s">
        <v>68</v>
      </c>
      <c r="B28" t="s">
        <v>6</v>
      </c>
      <c r="C28" s="14" t="s">
        <v>25</v>
      </c>
      <c r="D28" s="27">
        <v>0</v>
      </c>
      <c r="E28" s="8"/>
      <c r="F28" s="18" t="s">
        <v>519</v>
      </c>
    </row>
    <row r="29" spans="1:6" x14ac:dyDescent="0.35">
      <c r="A29" s="1" t="s">
        <v>69</v>
      </c>
      <c r="B29" t="s">
        <v>8</v>
      </c>
      <c r="C29" s="14" t="s">
        <v>25</v>
      </c>
      <c r="D29" s="27">
        <v>0</v>
      </c>
      <c r="E29" s="8"/>
      <c r="F29" s="18" t="s">
        <v>519</v>
      </c>
    </row>
    <row r="30" spans="1:6" x14ac:dyDescent="0.35">
      <c r="A30" s="1" t="s">
        <v>70</v>
      </c>
      <c r="B30" t="s">
        <v>6</v>
      </c>
      <c r="C30" s="14" t="s">
        <v>25</v>
      </c>
      <c r="D30" s="27">
        <v>0</v>
      </c>
      <c r="E30" s="8"/>
      <c r="F30" s="18" t="s">
        <v>519</v>
      </c>
    </row>
    <row r="31" spans="1:6" x14ac:dyDescent="0.35">
      <c r="A31" s="1" t="s">
        <v>71</v>
      </c>
      <c r="B31" t="s">
        <v>8</v>
      </c>
      <c r="C31" s="14" t="s">
        <v>25</v>
      </c>
      <c r="D31" s="27">
        <v>0</v>
      </c>
      <c r="E31" s="8"/>
      <c r="F31" s="18" t="s">
        <v>519</v>
      </c>
    </row>
    <row r="32" spans="1:6" x14ac:dyDescent="0.35">
      <c r="A32" s="1" t="s">
        <v>72</v>
      </c>
      <c r="B32" t="s">
        <v>91</v>
      </c>
      <c r="C32" s="14" t="s">
        <v>25</v>
      </c>
      <c r="D32" s="27">
        <v>0</v>
      </c>
      <c r="E32" s="8"/>
      <c r="F32" s="18" t="s">
        <v>519</v>
      </c>
    </row>
    <row r="33" spans="1:6" x14ac:dyDescent="0.35">
      <c r="A33" s="1" t="s">
        <v>73</v>
      </c>
      <c r="B33" t="s">
        <v>15</v>
      </c>
      <c r="C33" s="14" t="s">
        <v>25</v>
      </c>
      <c r="D33" s="27">
        <v>0</v>
      </c>
      <c r="E33" s="8"/>
      <c r="F33" s="18" t="s">
        <v>519</v>
      </c>
    </row>
    <row r="34" spans="1:6" x14ac:dyDescent="0.35">
      <c r="A34" s="1" t="s">
        <v>74</v>
      </c>
      <c r="B34" t="s">
        <v>8</v>
      </c>
      <c r="C34" s="14" t="s">
        <v>25</v>
      </c>
      <c r="D34" s="27">
        <v>0</v>
      </c>
      <c r="E34" s="8"/>
      <c r="F34" s="18" t="s">
        <v>519</v>
      </c>
    </row>
    <row r="35" spans="1:6" x14ac:dyDescent="0.35">
      <c r="A35" s="1" t="s">
        <v>75</v>
      </c>
      <c r="B35" t="s">
        <v>92</v>
      </c>
      <c r="C35" s="14" t="s">
        <v>25</v>
      </c>
      <c r="D35" s="27">
        <v>0</v>
      </c>
      <c r="E35" s="8"/>
      <c r="F35" s="18" t="s">
        <v>519</v>
      </c>
    </row>
    <row r="36" spans="1:6" x14ac:dyDescent="0.35">
      <c r="A36" s="1" t="s">
        <v>76</v>
      </c>
      <c r="B36" t="s">
        <v>10</v>
      </c>
      <c r="C36" s="14" t="s">
        <v>25</v>
      </c>
      <c r="D36" s="27">
        <v>0</v>
      </c>
      <c r="E36" s="8"/>
      <c r="F36" s="18" t="s">
        <v>519</v>
      </c>
    </row>
    <row r="37" spans="1:6" x14ac:dyDescent="0.35">
      <c r="A37" s="1" t="s">
        <v>77</v>
      </c>
      <c r="B37" t="s">
        <v>17</v>
      </c>
      <c r="C37" s="14" t="s">
        <v>25</v>
      </c>
      <c r="D37" s="27" t="s">
        <v>28</v>
      </c>
      <c r="E37" s="8"/>
      <c r="F37" s="18" t="s">
        <v>523</v>
      </c>
    </row>
    <row r="38" spans="1:6" x14ac:dyDescent="0.35">
      <c r="A38" s="1" t="s">
        <v>78</v>
      </c>
      <c r="B38" t="s">
        <v>92</v>
      </c>
      <c r="C38" s="14" t="s">
        <v>25</v>
      </c>
      <c r="D38" s="27">
        <v>0</v>
      </c>
      <c r="E38" s="8"/>
      <c r="F38" s="18" t="s">
        <v>519</v>
      </c>
    </row>
    <row r="39" spans="1:6" x14ac:dyDescent="0.35">
      <c r="A39" s="1" t="s">
        <v>79</v>
      </c>
      <c r="B39" t="s">
        <v>17</v>
      </c>
      <c r="C39" s="14" t="s">
        <v>25</v>
      </c>
      <c r="D39" s="27" t="s">
        <v>28</v>
      </c>
      <c r="E39" s="8"/>
      <c r="F39" s="18" t="s">
        <v>523</v>
      </c>
    </row>
    <row r="40" spans="1:6" x14ac:dyDescent="0.35">
      <c r="D40" s="8"/>
      <c r="E40" s="8"/>
    </row>
    <row r="41" spans="1:6" x14ac:dyDescent="0.35">
      <c r="D41" s="8"/>
      <c r="E41" s="8"/>
    </row>
    <row r="42" spans="1:6" x14ac:dyDescent="0.35">
      <c r="D42" s="8"/>
      <c r="E42" s="8"/>
    </row>
    <row r="43" spans="1:6" x14ac:dyDescent="0.35">
      <c r="D43" s="8"/>
      <c r="E43" s="8"/>
    </row>
    <row r="44" spans="1:6" x14ac:dyDescent="0.35">
      <c r="D44" s="8"/>
      <c r="E44" s="8"/>
    </row>
    <row r="45" spans="1:6" x14ac:dyDescent="0.35">
      <c r="D45" s="8"/>
      <c r="E45" s="8"/>
    </row>
    <row r="46" spans="1:6" x14ac:dyDescent="0.35">
      <c r="D46" s="8"/>
      <c r="E46" s="8"/>
    </row>
    <row r="47" spans="1:6" x14ac:dyDescent="0.35">
      <c r="D47" s="8"/>
      <c r="E47" s="8"/>
    </row>
    <row r="48" spans="1:6" x14ac:dyDescent="0.35">
      <c r="D48" s="8"/>
      <c r="E48" s="8"/>
    </row>
    <row r="49" spans="4:5" x14ac:dyDescent="0.35">
      <c r="D49" s="8"/>
      <c r="E49" s="8"/>
    </row>
    <row r="50" spans="4:5" x14ac:dyDescent="0.35">
      <c r="D50" s="8"/>
      <c r="E50" s="8"/>
    </row>
    <row r="51" spans="4:5" x14ac:dyDescent="0.35">
      <c r="D51" s="8"/>
      <c r="E51" s="8"/>
    </row>
    <row r="52" spans="4:5" x14ac:dyDescent="0.35">
      <c r="D52" s="8"/>
      <c r="E52" s="8"/>
    </row>
    <row r="53" spans="4:5" x14ac:dyDescent="0.35">
      <c r="D53" s="8"/>
      <c r="E53" s="8"/>
    </row>
    <row r="54" spans="4:5" x14ac:dyDescent="0.35">
      <c r="D54" s="8"/>
      <c r="E54" s="8"/>
    </row>
    <row r="55" spans="4:5" x14ac:dyDescent="0.35">
      <c r="D55" s="8"/>
      <c r="E55" s="8"/>
    </row>
    <row r="56" spans="4:5" x14ac:dyDescent="0.35">
      <c r="D56" s="8"/>
      <c r="E56" s="8"/>
    </row>
    <row r="57" spans="4:5" x14ac:dyDescent="0.35">
      <c r="D57" s="8"/>
      <c r="E57" s="8"/>
    </row>
    <row r="58" spans="4:5" x14ac:dyDescent="0.35">
      <c r="D58" s="8"/>
      <c r="E58" s="8"/>
    </row>
    <row r="59" spans="4:5" x14ac:dyDescent="0.35">
      <c r="D59" s="8"/>
      <c r="E59" s="8"/>
    </row>
    <row r="60" spans="4:5" x14ac:dyDescent="0.35">
      <c r="D60" s="8"/>
      <c r="E60" s="8"/>
    </row>
    <row r="61" spans="4:5" x14ac:dyDescent="0.35">
      <c r="D61" s="8"/>
      <c r="E61" s="8"/>
    </row>
    <row r="62" spans="4:5" x14ac:dyDescent="0.35">
      <c r="D62" s="8"/>
      <c r="E62" s="8"/>
    </row>
    <row r="63" spans="4:5" x14ac:dyDescent="0.35">
      <c r="D63" s="8"/>
      <c r="E63" s="8"/>
    </row>
    <row r="64" spans="4:5" x14ac:dyDescent="0.35">
      <c r="D64" s="8"/>
      <c r="E64" s="8"/>
    </row>
    <row r="65" spans="4:6" x14ac:dyDescent="0.35">
      <c r="D65" s="8"/>
      <c r="E65" s="8"/>
    </row>
    <row r="66" spans="4:6" x14ac:dyDescent="0.35">
      <c r="D66" s="8"/>
      <c r="E66" s="8"/>
    </row>
    <row r="67" spans="4:6" x14ac:dyDescent="0.35">
      <c r="D67" s="8"/>
      <c r="E67" s="8"/>
    </row>
    <row r="68" spans="4:6" x14ac:dyDescent="0.35">
      <c r="E68" s="12"/>
      <c r="F68" s="11"/>
    </row>
  </sheetData>
  <autoFilter ref="A2:F68" xr:uid="{00000000-0009-0000-0000-000000000000}"/>
  <mergeCells count="1">
    <mergeCell ref="A1:B1"/>
  </mergeCells>
  <pageMargins left="0.7" right="0.7" top="0.75" bottom="0.75" header="0.3" footer="0.3"/>
  <pageSetup orientation="portrait" r:id="rId1"/>
  <ignoredErrors>
    <ignoredError sqref="D7:D39 D3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2"/>
  <sheetViews>
    <sheetView zoomScale="70" zoomScaleNormal="70" workbookViewId="0">
      <pane ySplit="2" topLeftCell="A3" activePane="bottomLeft" state="frozen"/>
      <selection pane="bottomLeft" activeCell="B24" sqref="B24"/>
    </sheetView>
  </sheetViews>
  <sheetFormatPr defaultRowHeight="14.5" x14ac:dyDescent="0.35"/>
  <cols>
    <col min="1" max="1" width="10.1796875" style="7" bestFit="1" customWidth="1"/>
    <col min="2" max="2" width="56.7265625" customWidth="1"/>
    <col min="3" max="3" width="14.81640625" style="7" bestFit="1" customWidth="1"/>
    <col min="4" max="4" width="19.7265625" style="1" customWidth="1"/>
    <col min="5" max="5" width="15.1796875" style="2" customWidth="1"/>
    <col min="6" max="6" width="53.54296875" style="2" customWidth="1"/>
    <col min="7" max="7" width="20.453125" style="2" customWidth="1"/>
    <col min="8" max="8" width="73.7265625" customWidth="1"/>
  </cols>
  <sheetData>
    <row r="1" spans="1:8" x14ac:dyDescent="0.35">
      <c r="A1" s="43" t="s">
        <v>284</v>
      </c>
      <c r="B1" s="43"/>
      <c r="C1" s="6" t="s">
        <v>0</v>
      </c>
      <c r="D1" s="1" t="s">
        <v>0</v>
      </c>
      <c r="E1" s="1"/>
      <c r="F1" s="1"/>
      <c r="G1"/>
    </row>
    <row r="2" spans="1:8" ht="29" x14ac:dyDescent="0.35">
      <c r="A2" s="6" t="s">
        <v>1</v>
      </c>
      <c r="B2" s="10" t="s">
        <v>2</v>
      </c>
      <c r="C2" s="9" t="s">
        <v>18</v>
      </c>
      <c r="D2" s="25" t="s">
        <v>29</v>
      </c>
      <c r="E2" s="9" t="s">
        <v>42</v>
      </c>
      <c r="F2" s="9" t="s">
        <v>516</v>
      </c>
      <c r="G2" s="4" t="s">
        <v>18</v>
      </c>
      <c r="H2" s="5"/>
    </row>
    <row r="3" spans="1:8" x14ac:dyDescent="0.35">
      <c r="A3" s="7" t="s">
        <v>95</v>
      </c>
      <c r="B3" t="s">
        <v>30</v>
      </c>
      <c r="C3" s="7" t="s">
        <v>27</v>
      </c>
      <c r="D3" s="26" t="s">
        <v>27</v>
      </c>
      <c r="E3" s="8" t="s">
        <v>543</v>
      </c>
      <c r="F3" s="13" t="s">
        <v>524</v>
      </c>
      <c r="G3" s="4">
        <v>0</v>
      </c>
      <c r="H3" s="5" t="s">
        <v>19</v>
      </c>
    </row>
    <row r="4" spans="1:8" x14ac:dyDescent="0.35">
      <c r="A4" s="7" t="s">
        <v>96</v>
      </c>
      <c r="B4" t="s">
        <v>33</v>
      </c>
      <c r="C4" s="17" t="s">
        <v>28</v>
      </c>
      <c r="D4" s="28" t="s">
        <v>28</v>
      </c>
      <c r="G4" s="4">
        <v>1</v>
      </c>
      <c r="H4" s="5" t="s">
        <v>20</v>
      </c>
    </row>
    <row r="5" spans="1:8" x14ac:dyDescent="0.35">
      <c r="A5" s="7" t="s">
        <v>97</v>
      </c>
      <c r="B5" t="s">
        <v>245</v>
      </c>
      <c r="C5" s="14" t="s">
        <v>25</v>
      </c>
      <c r="D5" s="27" t="s">
        <v>28</v>
      </c>
      <c r="F5" s="18" t="s">
        <v>519</v>
      </c>
      <c r="G5" s="4">
        <v>2</v>
      </c>
      <c r="H5" s="5" t="s">
        <v>21</v>
      </c>
    </row>
    <row r="6" spans="1:8" x14ac:dyDescent="0.35">
      <c r="A6" s="7" t="s">
        <v>98</v>
      </c>
      <c r="B6" t="s">
        <v>38</v>
      </c>
      <c r="C6" s="7" t="s">
        <v>28</v>
      </c>
      <c r="D6" s="26" t="s">
        <v>28</v>
      </c>
      <c r="G6" s="4">
        <v>3</v>
      </c>
      <c r="H6" s="5" t="s">
        <v>22</v>
      </c>
    </row>
    <row r="7" spans="1:8" x14ac:dyDescent="0.35">
      <c r="A7" s="7" t="s">
        <v>99</v>
      </c>
      <c r="B7" t="s">
        <v>33</v>
      </c>
      <c r="C7" s="17" t="s">
        <v>28</v>
      </c>
      <c r="D7" s="26" t="s">
        <v>28</v>
      </c>
      <c r="G7" s="4">
        <v>4</v>
      </c>
      <c r="H7" s="5" t="s">
        <v>23</v>
      </c>
    </row>
    <row r="8" spans="1:8" x14ac:dyDescent="0.35">
      <c r="A8" s="7" t="s">
        <v>100</v>
      </c>
      <c r="B8" t="s">
        <v>246</v>
      </c>
      <c r="C8" s="14" t="s">
        <v>25</v>
      </c>
      <c r="D8" s="27" t="s">
        <v>28</v>
      </c>
      <c r="F8" s="18" t="s">
        <v>519</v>
      </c>
      <c r="G8" s="4">
        <v>5</v>
      </c>
      <c r="H8" s="5" t="s">
        <v>529</v>
      </c>
    </row>
    <row r="9" spans="1:8" x14ac:dyDescent="0.35">
      <c r="A9" s="7" t="s">
        <v>101</v>
      </c>
      <c r="B9" t="s">
        <v>32</v>
      </c>
      <c r="C9" s="14" t="s">
        <v>25</v>
      </c>
      <c r="D9" s="27" t="s">
        <v>28</v>
      </c>
      <c r="F9" s="18" t="s">
        <v>519</v>
      </c>
    </row>
    <row r="10" spans="1:8" x14ac:dyDescent="0.35">
      <c r="A10" s="7" t="s">
        <v>102</v>
      </c>
      <c r="B10" t="s">
        <v>88</v>
      </c>
      <c r="C10" s="7" t="s">
        <v>24</v>
      </c>
      <c r="D10" s="26" t="s">
        <v>28</v>
      </c>
    </row>
    <row r="11" spans="1:8" x14ac:dyDescent="0.35">
      <c r="A11" s="7" t="s">
        <v>103</v>
      </c>
      <c r="B11" t="s">
        <v>34</v>
      </c>
      <c r="C11" s="17" t="s">
        <v>28</v>
      </c>
      <c r="D11" s="28" t="s">
        <v>28</v>
      </c>
    </row>
    <row r="12" spans="1:8" x14ac:dyDescent="0.35">
      <c r="A12" s="7" t="s">
        <v>104</v>
      </c>
      <c r="B12" t="s">
        <v>247</v>
      </c>
      <c r="C12" s="14" t="s">
        <v>25</v>
      </c>
      <c r="D12" s="27" t="s">
        <v>28</v>
      </c>
      <c r="F12" s="18" t="s">
        <v>519</v>
      </c>
    </row>
    <row r="13" spans="1:8" x14ac:dyDescent="0.35">
      <c r="A13" s="7" t="s">
        <v>105</v>
      </c>
      <c r="B13" t="s">
        <v>248</v>
      </c>
      <c r="C13" s="14" t="s">
        <v>25</v>
      </c>
      <c r="D13" s="27" t="s">
        <v>28</v>
      </c>
      <c r="F13" s="18" t="s">
        <v>519</v>
      </c>
    </row>
    <row r="14" spans="1:8" x14ac:dyDescent="0.35">
      <c r="A14" s="7" t="s">
        <v>106</v>
      </c>
      <c r="B14" t="s">
        <v>37</v>
      </c>
      <c r="C14" s="8" t="s">
        <v>28</v>
      </c>
      <c r="D14" s="26" t="s">
        <v>28</v>
      </c>
    </row>
    <row r="15" spans="1:8" x14ac:dyDescent="0.35">
      <c r="A15" s="7" t="s">
        <v>107</v>
      </c>
      <c r="B15" t="s">
        <v>249</v>
      </c>
      <c r="C15" s="8" t="s">
        <v>28</v>
      </c>
      <c r="D15" s="26" t="s">
        <v>28</v>
      </c>
    </row>
    <row r="16" spans="1:8" x14ac:dyDescent="0.35">
      <c r="A16" s="7" t="s">
        <v>108</v>
      </c>
      <c r="B16" t="s">
        <v>250</v>
      </c>
      <c r="C16" s="14" t="s">
        <v>25</v>
      </c>
      <c r="D16" s="27" t="s">
        <v>28</v>
      </c>
      <c r="F16" s="18" t="s">
        <v>519</v>
      </c>
    </row>
    <row r="17" spans="1:6" x14ac:dyDescent="0.35">
      <c r="A17" s="7" t="s">
        <v>109</v>
      </c>
      <c r="B17" t="s">
        <v>5</v>
      </c>
      <c r="C17" s="14" t="s">
        <v>24</v>
      </c>
      <c r="D17" s="27">
        <v>0</v>
      </c>
      <c r="E17" s="8"/>
      <c r="F17" s="18" t="s">
        <v>528</v>
      </c>
    </row>
    <row r="18" spans="1:6" x14ac:dyDescent="0.35">
      <c r="A18" s="7" t="s">
        <v>110</v>
      </c>
      <c r="B18" t="s">
        <v>251</v>
      </c>
      <c r="C18" s="14" t="s">
        <v>25</v>
      </c>
      <c r="D18" s="27" t="s">
        <v>28</v>
      </c>
      <c r="F18" s="18" t="s">
        <v>519</v>
      </c>
    </row>
    <row r="19" spans="1:6" x14ac:dyDescent="0.35">
      <c r="A19" s="7" t="s">
        <v>111</v>
      </c>
      <c r="B19" t="s">
        <v>252</v>
      </c>
      <c r="C19" s="14" t="s">
        <v>25</v>
      </c>
      <c r="D19" s="27" t="s">
        <v>28</v>
      </c>
      <c r="F19" s="18" t="s">
        <v>519</v>
      </c>
    </row>
    <row r="20" spans="1:6" x14ac:dyDescent="0.35">
      <c r="A20" s="7" t="s">
        <v>112</v>
      </c>
      <c r="B20" s="22" t="s">
        <v>251</v>
      </c>
      <c r="C20" s="29" t="s">
        <v>28</v>
      </c>
      <c r="D20" s="32" t="s">
        <v>530</v>
      </c>
      <c r="E20" s="30"/>
      <c r="F20" s="44" t="s">
        <v>535</v>
      </c>
    </row>
    <row r="21" spans="1:6" x14ac:dyDescent="0.35">
      <c r="A21" s="7" t="s">
        <v>113</v>
      </c>
      <c r="B21" s="22" t="s">
        <v>252</v>
      </c>
      <c r="C21" s="29" t="s">
        <v>28</v>
      </c>
      <c r="D21" s="32" t="s">
        <v>530</v>
      </c>
      <c r="E21" s="30"/>
      <c r="F21" s="44"/>
    </row>
    <row r="22" spans="1:6" x14ac:dyDescent="0.35">
      <c r="A22" s="7" t="s">
        <v>114</v>
      </c>
      <c r="B22" t="s">
        <v>87</v>
      </c>
      <c r="C22" s="14" t="s">
        <v>28</v>
      </c>
      <c r="D22" s="27">
        <v>0</v>
      </c>
      <c r="E22" s="8"/>
      <c r="F22" s="18" t="s">
        <v>519</v>
      </c>
    </row>
    <row r="23" spans="1:6" x14ac:dyDescent="0.35">
      <c r="A23" s="7" t="s">
        <v>115</v>
      </c>
      <c r="B23" t="s">
        <v>253</v>
      </c>
      <c r="C23" s="14" t="s">
        <v>24</v>
      </c>
      <c r="D23" s="27">
        <v>0</v>
      </c>
      <c r="E23" s="8"/>
      <c r="F23" s="18" t="s">
        <v>528</v>
      </c>
    </row>
    <row r="24" spans="1:6" x14ac:dyDescent="0.35">
      <c r="A24" s="7" t="s">
        <v>116</v>
      </c>
      <c r="B24" t="s">
        <v>33</v>
      </c>
      <c r="C24" s="7" t="s">
        <v>28</v>
      </c>
      <c r="D24" s="26" t="s">
        <v>28</v>
      </c>
    </row>
    <row r="25" spans="1:6" x14ac:dyDescent="0.35">
      <c r="A25" s="7" t="s">
        <v>117</v>
      </c>
      <c r="B25" t="s">
        <v>88</v>
      </c>
      <c r="C25" s="7" t="s">
        <v>24</v>
      </c>
      <c r="D25" s="26" t="s">
        <v>28</v>
      </c>
    </row>
    <row r="26" spans="1:6" x14ac:dyDescent="0.35">
      <c r="A26" s="7" t="s">
        <v>118</v>
      </c>
      <c r="B26" t="s">
        <v>88</v>
      </c>
      <c r="C26" s="7" t="s">
        <v>24</v>
      </c>
      <c r="D26" s="26" t="s">
        <v>28</v>
      </c>
    </row>
    <row r="27" spans="1:6" x14ac:dyDescent="0.35">
      <c r="A27" s="7" t="s">
        <v>119</v>
      </c>
      <c r="B27" t="s">
        <v>249</v>
      </c>
      <c r="C27" s="17" t="s">
        <v>28</v>
      </c>
      <c r="D27" s="28" t="s">
        <v>28</v>
      </c>
    </row>
    <row r="28" spans="1:6" x14ac:dyDescent="0.35">
      <c r="A28" s="7" t="s">
        <v>120</v>
      </c>
      <c r="B28" t="s">
        <v>254</v>
      </c>
      <c r="C28" s="14" t="s">
        <v>24</v>
      </c>
      <c r="D28" s="27">
        <v>0</v>
      </c>
      <c r="E28" s="8"/>
      <c r="F28" s="18" t="s">
        <v>528</v>
      </c>
    </row>
    <row r="29" spans="1:6" x14ac:dyDescent="0.35">
      <c r="A29" s="7" t="s">
        <v>121</v>
      </c>
      <c r="B29" t="s">
        <v>255</v>
      </c>
      <c r="C29" s="14" t="s">
        <v>25</v>
      </c>
      <c r="D29" s="27" t="s">
        <v>28</v>
      </c>
      <c r="F29" s="18" t="s">
        <v>519</v>
      </c>
    </row>
    <row r="30" spans="1:6" x14ac:dyDescent="0.35">
      <c r="A30" s="7" t="s">
        <v>122</v>
      </c>
      <c r="B30" t="s">
        <v>33</v>
      </c>
      <c r="C30" s="17" t="s">
        <v>28</v>
      </c>
      <c r="D30" s="26" t="s">
        <v>28</v>
      </c>
    </row>
    <row r="31" spans="1:6" x14ac:dyDescent="0.35">
      <c r="A31" s="7" t="s">
        <v>123</v>
      </c>
      <c r="B31" t="s">
        <v>40</v>
      </c>
      <c r="C31" s="17" t="s">
        <v>28</v>
      </c>
      <c r="D31" s="26" t="s">
        <v>28</v>
      </c>
    </row>
    <row r="32" spans="1:6" x14ac:dyDescent="0.35">
      <c r="A32" s="7" t="s">
        <v>124</v>
      </c>
      <c r="B32" t="s">
        <v>256</v>
      </c>
      <c r="C32" s="17" t="s">
        <v>28</v>
      </c>
      <c r="D32" s="26" t="s">
        <v>28</v>
      </c>
    </row>
    <row r="33" spans="1:6" x14ac:dyDescent="0.35">
      <c r="A33" s="38" t="s">
        <v>125</v>
      </c>
      <c r="B33" t="s">
        <v>257</v>
      </c>
      <c r="C33" s="7" t="s">
        <v>25</v>
      </c>
      <c r="D33" s="26" t="s">
        <v>25</v>
      </c>
      <c r="F33" s="18"/>
    </row>
    <row r="34" spans="1:6" x14ac:dyDescent="0.35">
      <c r="A34" s="7" t="s">
        <v>126</v>
      </c>
      <c r="B34" t="s">
        <v>80</v>
      </c>
      <c r="C34" s="14" t="s">
        <v>25</v>
      </c>
      <c r="D34" s="27" t="s">
        <v>28</v>
      </c>
      <c r="F34" s="18" t="s">
        <v>519</v>
      </c>
    </row>
    <row r="35" spans="1:6" x14ac:dyDescent="0.35">
      <c r="A35" s="7" t="s">
        <v>127</v>
      </c>
      <c r="B35" t="s">
        <v>39</v>
      </c>
      <c r="C35" s="7" t="s">
        <v>27</v>
      </c>
      <c r="D35" s="26" t="s">
        <v>27</v>
      </c>
      <c r="E35" s="8" t="s">
        <v>543</v>
      </c>
      <c r="F35" s="13" t="s">
        <v>524</v>
      </c>
    </row>
    <row r="36" spans="1:6" x14ac:dyDescent="0.35">
      <c r="A36" s="7" t="s">
        <v>128</v>
      </c>
      <c r="B36" t="s">
        <v>88</v>
      </c>
      <c r="C36" s="7" t="s">
        <v>27</v>
      </c>
      <c r="D36" s="26" t="s">
        <v>27</v>
      </c>
      <c r="E36" s="8" t="s">
        <v>543</v>
      </c>
      <c r="F36" s="13" t="s">
        <v>524</v>
      </c>
    </row>
    <row r="37" spans="1:6" x14ac:dyDescent="0.35">
      <c r="A37" s="39" t="s">
        <v>129</v>
      </c>
      <c r="B37" t="s">
        <v>258</v>
      </c>
      <c r="C37" s="7" t="s">
        <v>26</v>
      </c>
      <c r="D37" s="26" t="s">
        <v>26</v>
      </c>
      <c r="E37" s="8" t="s">
        <v>543</v>
      </c>
      <c r="F37" s="13"/>
    </row>
    <row r="38" spans="1:6" x14ac:dyDescent="0.35">
      <c r="A38" s="39" t="s">
        <v>130</v>
      </c>
      <c r="B38" t="s">
        <v>258</v>
      </c>
      <c r="C38" s="7" t="s">
        <v>26</v>
      </c>
      <c r="D38" s="26" t="s">
        <v>26</v>
      </c>
      <c r="E38" s="8" t="s">
        <v>543</v>
      </c>
      <c r="F38" s="13"/>
    </row>
    <row r="39" spans="1:6" x14ac:dyDescent="0.35">
      <c r="A39" s="7" t="s">
        <v>131</v>
      </c>
      <c r="B39" t="s">
        <v>16</v>
      </c>
      <c r="C39" s="7" t="s">
        <v>27</v>
      </c>
      <c r="D39" s="26" t="s">
        <v>27</v>
      </c>
      <c r="E39" s="8" t="s">
        <v>543</v>
      </c>
      <c r="F39" s="13" t="s">
        <v>524</v>
      </c>
    </row>
    <row r="40" spans="1:6" x14ac:dyDescent="0.35">
      <c r="A40" s="39" t="s">
        <v>132</v>
      </c>
      <c r="B40" t="s">
        <v>258</v>
      </c>
      <c r="C40" s="7" t="s">
        <v>26</v>
      </c>
      <c r="D40" s="26" t="s">
        <v>26</v>
      </c>
      <c r="E40" s="8" t="s">
        <v>543</v>
      </c>
      <c r="F40" s="13"/>
    </row>
    <row r="41" spans="1:6" x14ac:dyDescent="0.35">
      <c r="A41" s="39" t="s">
        <v>133</v>
      </c>
      <c r="B41" t="s">
        <v>258</v>
      </c>
      <c r="C41" s="7" t="s">
        <v>26</v>
      </c>
      <c r="D41" s="26" t="s">
        <v>26</v>
      </c>
      <c r="E41" s="8" t="s">
        <v>543</v>
      </c>
      <c r="F41" s="13"/>
    </row>
    <row r="42" spans="1:6" x14ac:dyDescent="0.35">
      <c r="A42" s="7" t="s">
        <v>134</v>
      </c>
      <c r="B42" t="s">
        <v>259</v>
      </c>
      <c r="C42" s="7" t="s">
        <v>28</v>
      </c>
      <c r="D42" s="26" t="s">
        <v>28</v>
      </c>
    </row>
    <row r="43" spans="1:6" x14ac:dyDescent="0.35">
      <c r="A43" s="7" t="s">
        <v>135</v>
      </c>
      <c r="B43" s="22" t="s">
        <v>33</v>
      </c>
      <c r="C43" s="29" t="s">
        <v>28</v>
      </c>
      <c r="D43" s="33" t="s">
        <v>530</v>
      </c>
      <c r="E43" s="31" t="s">
        <v>536</v>
      </c>
      <c r="F43" s="30"/>
    </row>
    <row r="44" spans="1:6" x14ac:dyDescent="0.35">
      <c r="A44" s="7" t="s">
        <v>136</v>
      </c>
      <c r="B44" t="s">
        <v>87</v>
      </c>
      <c r="C44" s="14" t="s">
        <v>28</v>
      </c>
      <c r="D44" s="27">
        <v>0</v>
      </c>
      <c r="E44" s="8"/>
      <c r="F44" s="18" t="s">
        <v>519</v>
      </c>
    </row>
    <row r="45" spans="1:6" x14ac:dyDescent="0.35">
      <c r="A45" s="7" t="s">
        <v>137</v>
      </c>
      <c r="B45" t="s">
        <v>84</v>
      </c>
      <c r="C45" s="14" t="s">
        <v>25</v>
      </c>
      <c r="D45" s="27">
        <v>0</v>
      </c>
      <c r="E45" s="8"/>
      <c r="F45" s="18" t="s">
        <v>518</v>
      </c>
    </row>
    <row r="46" spans="1:6" x14ac:dyDescent="0.35">
      <c r="A46" s="7" t="s">
        <v>138</v>
      </c>
      <c r="B46" t="s">
        <v>84</v>
      </c>
      <c r="C46" s="14" t="s">
        <v>25</v>
      </c>
      <c r="D46" s="27">
        <v>0</v>
      </c>
      <c r="E46" s="8"/>
      <c r="F46" s="18" t="s">
        <v>518</v>
      </c>
    </row>
    <row r="47" spans="1:6" x14ac:dyDescent="0.35">
      <c r="A47" s="7" t="s">
        <v>139</v>
      </c>
      <c r="B47" t="s">
        <v>87</v>
      </c>
      <c r="C47" s="14" t="s">
        <v>28</v>
      </c>
      <c r="D47" s="27">
        <v>0</v>
      </c>
      <c r="E47" s="8"/>
      <c r="F47" s="18" t="s">
        <v>519</v>
      </c>
    </row>
    <row r="48" spans="1:6" x14ac:dyDescent="0.35">
      <c r="A48" s="7" t="s">
        <v>140</v>
      </c>
      <c r="B48" t="s">
        <v>88</v>
      </c>
      <c r="C48" s="7" t="s">
        <v>24</v>
      </c>
      <c r="D48" s="26" t="s">
        <v>28</v>
      </c>
      <c r="F48" s="13" t="s">
        <v>524</v>
      </c>
    </row>
    <row r="49" spans="1:7" s="13" customFormat="1" x14ac:dyDescent="0.35">
      <c r="A49" s="17" t="s">
        <v>141</v>
      </c>
      <c r="B49" s="13" t="s">
        <v>8</v>
      </c>
      <c r="C49" s="14" t="s">
        <v>25</v>
      </c>
      <c r="D49" s="27" t="s">
        <v>28</v>
      </c>
      <c r="E49" s="21"/>
      <c r="F49" s="18" t="s">
        <v>519</v>
      </c>
      <c r="G49" s="20"/>
    </row>
    <row r="50" spans="1:7" x14ac:dyDescent="0.35">
      <c r="A50" s="7" t="s">
        <v>142</v>
      </c>
      <c r="B50" s="22" t="s">
        <v>16</v>
      </c>
      <c r="C50" s="29" t="s">
        <v>28</v>
      </c>
      <c r="D50" s="33" t="s">
        <v>530</v>
      </c>
      <c r="E50" s="31" t="s">
        <v>536</v>
      </c>
      <c r="F50" s="30"/>
    </row>
    <row r="51" spans="1:7" x14ac:dyDescent="0.35">
      <c r="A51" s="39" t="s">
        <v>143</v>
      </c>
      <c r="B51" t="s">
        <v>258</v>
      </c>
      <c r="C51" s="7" t="s">
        <v>26</v>
      </c>
      <c r="D51" s="26" t="s">
        <v>26</v>
      </c>
      <c r="E51" s="8" t="s">
        <v>543</v>
      </c>
      <c r="F51" s="13" t="s">
        <v>524</v>
      </c>
    </row>
    <row r="52" spans="1:7" x14ac:dyDescent="0.35">
      <c r="A52" s="7" t="s">
        <v>144</v>
      </c>
      <c r="B52" t="s">
        <v>260</v>
      </c>
      <c r="C52" s="14" t="s">
        <v>25</v>
      </c>
      <c r="D52" s="27" t="s">
        <v>28</v>
      </c>
      <c r="F52" s="18" t="s">
        <v>519</v>
      </c>
    </row>
    <row r="53" spans="1:7" x14ac:dyDescent="0.35">
      <c r="A53" s="7" t="s">
        <v>145</v>
      </c>
      <c r="B53" t="s">
        <v>258</v>
      </c>
      <c r="C53" s="14" t="s">
        <v>26</v>
      </c>
      <c r="D53" s="27" t="s">
        <v>25</v>
      </c>
      <c r="F53" s="19" t="s">
        <v>526</v>
      </c>
    </row>
    <row r="54" spans="1:7" x14ac:dyDescent="0.35">
      <c r="A54" s="7" t="s">
        <v>146</v>
      </c>
      <c r="B54" t="s">
        <v>258</v>
      </c>
      <c r="C54" s="14" t="s">
        <v>26</v>
      </c>
      <c r="D54" s="27" t="s">
        <v>25</v>
      </c>
      <c r="F54" s="19" t="s">
        <v>526</v>
      </c>
    </row>
    <row r="55" spans="1:7" x14ac:dyDescent="0.35">
      <c r="A55" s="7" t="s">
        <v>147</v>
      </c>
      <c r="B55" s="22" t="s">
        <v>88</v>
      </c>
      <c r="C55" s="29" t="s">
        <v>24</v>
      </c>
      <c r="D55" s="33" t="s">
        <v>530</v>
      </c>
      <c r="E55" s="31" t="s">
        <v>536</v>
      </c>
      <c r="F55" s="30"/>
    </row>
    <row r="56" spans="1:7" x14ac:dyDescent="0.35">
      <c r="A56" s="7" t="s">
        <v>148</v>
      </c>
      <c r="B56" t="s">
        <v>87</v>
      </c>
      <c r="C56" s="14" t="s">
        <v>28</v>
      </c>
      <c r="D56" s="27">
        <v>0</v>
      </c>
      <c r="E56" s="8"/>
      <c r="F56" s="18" t="s">
        <v>519</v>
      </c>
    </row>
    <row r="57" spans="1:7" x14ac:dyDescent="0.35">
      <c r="A57" s="7" t="s">
        <v>149</v>
      </c>
      <c r="B57" t="s">
        <v>33</v>
      </c>
      <c r="C57" s="7" t="s">
        <v>27</v>
      </c>
      <c r="D57" s="26" t="s">
        <v>27</v>
      </c>
      <c r="E57" s="8" t="s">
        <v>543</v>
      </c>
      <c r="F57" s="13" t="s">
        <v>524</v>
      </c>
    </row>
    <row r="58" spans="1:7" x14ac:dyDescent="0.35">
      <c r="A58" s="7" t="s">
        <v>150</v>
      </c>
      <c r="B58" t="s">
        <v>6</v>
      </c>
      <c r="C58" s="14" t="s">
        <v>25</v>
      </c>
      <c r="D58" s="27" t="s">
        <v>28</v>
      </c>
      <c r="F58" s="18" t="s">
        <v>519</v>
      </c>
    </row>
    <row r="59" spans="1:7" x14ac:dyDescent="0.35">
      <c r="A59" s="38" t="s">
        <v>151</v>
      </c>
      <c r="B59" t="s">
        <v>251</v>
      </c>
      <c r="C59" s="7" t="s">
        <v>25</v>
      </c>
      <c r="D59" s="26" t="s">
        <v>25</v>
      </c>
      <c r="E59" s="23" t="s">
        <v>536</v>
      </c>
    </row>
    <row r="60" spans="1:7" x14ac:dyDescent="0.35">
      <c r="A60" s="7" t="s">
        <v>152</v>
      </c>
      <c r="B60" t="s">
        <v>87</v>
      </c>
      <c r="C60" s="14" t="s">
        <v>28</v>
      </c>
      <c r="D60" s="27">
        <v>0</v>
      </c>
      <c r="E60" s="8"/>
      <c r="F60" s="18" t="s">
        <v>519</v>
      </c>
    </row>
    <row r="61" spans="1:7" x14ac:dyDescent="0.35">
      <c r="A61" s="7" t="s">
        <v>153</v>
      </c>
      <c r="B61" t="s">
        <v>87</v>
      </c>
      <c r="C61" s="14" t="s">
        <v>28</v>
      </c>
      <c r="D61" s="27">
        <v>0</v>
      </c>
      <c r="E61" s="8"/>
      <c r="F61" s="18" t="s">
        <v>519</v>
      </c>
    </row>
    <row r="62" spans="1:7" x14ac:dyDescent="0.35">
      <c r="A62" s="7" t="s">
        <v>154</v>
      </c>
      <c r="B62" t="s">
        <v>87</v>
      </c>
      <c r="C62" s="14" t="s">
        <v>28</v>
      </c>
      <c r="D62" s="27">
        <v>0</v>
      </c>
      <c r="E62" s="8"/>
      <c r="F62" s="18" t="s">
        <v>519</v>
      </c>
    </row>
    <row r="63" spans="1:7" x14ac:dyDescent="0.35">
      <c r="A63" s="7" t="s">
        <v>155</v>
      </c>
      <c r="B63" t="s">
        <v>87</v>
      </c>
      <c r="C63" s="14" t="s">
        <v>28</v>
      </c>
      <c r="D63" s="27">
        <v>0</v>
      </c>
      <c r="E63" s="8"/>
      <c r="F63" s="18" t="s">
        <v>519</v>
      </c>
    </row>
    <row r="64" spans="1:7" x14ac:dyDescent="0.35">
      <c r="A64" s="7" t="s">
        <v>156</v>
      </c>
      <c r="B64" t="s">
        <v>87</v>
      </c>
      <c r="C64" s="14" t="s">
        <v>28</v>
      </c>
      <c r="D64" s="27">
        <v>0</v>
      </c>
      <c r="E64" s="8"/>
      <c r="F64" s="18" t="s">
        <v>519</v>
      </c>
    </row>
    <row r="65" spans="1:6" x14ac:dyDescent="0.35">
      <c r="A65" s="38" t="s">
        <v>157</v>
      </c>
      <c r="B65" s="24" t="s">
        <v>252</v>
      </c>
      <c r="C65" s="34" t="s">
        <v>25</v>
      </c>
      <c r="D65" s="32" t="s">
        <v>25</v>
      </c>
      <c r="E65" s="35" t="s">
        <v>536</v>
      </c>
      <c r="F65" s="24" t="s">
        <v>519</v>
      </c>
    </row>
    <row r="66" spans="1:6" x14ac:dyDescent="0.35">
      <c r="A66" s="7" t="s">
        <v>158</v>
      </c>
      <c r="B66" s="24" t="s">
        <v>87</v>
      </c>
      <c r="C66" s="34" t="s">
        <v>28</v>
      </c>
      <c r="D66" s="32" t="s">
        <v>530</v>
      </c>
      <c r="E66" s="35" t="s">
        <v>536</v>
      </c>
      <c r="F66" s="24" t="s">
        <v>519</v>
      </c>
    </row>
    <row r="67" spans="1:6" x14ac:dyDescent="0.35">
      <c r="A67" s="7" t="s">
        <v>159</v>
      </c>
      <c r="B67" t="s">
        <v>88</v>
      </c>
      <c r="C67" s="7" t="s">
        <v>27</v>
      </c>
      <c r="D67" s="26" t="s">
        <v>27</v>
      </c>
      <c r="E67" s="8" t="s">
        <v>543</v>
      </c>
      <c r="F67" s="13" t="s">
        <v>524</v>
      </c>
    </row>
    <row r="68" spans="1:6" x14ac:dyDescent="0.35">
      <c r="A68" s="7" t="s">
        <v>160</v>
      </c>
      <c r="B68" t="s">
        <v>6</v>
      </c>
      <c r="C68" s="14" t="s">
        <v>25</v>
      </c>
      <c r="D68" s="27" t="s">
        <v>28</v>
      </c>
      <c r="F68" s="18" t="s">
        <v>519</v>
      </c>
    </row>
    <row r="69" spans="1:6" x14ac:dyDescent="0.35">
      <c r="A69" s="7" t="s">
        <v>161</v>
      </c>
      <c r="B69" t="s">
        <v>87</v>
      </c>
      <c r="C69" s="14" t="s">
        <v>28</v>
      </c>
      <c r="D69" s="27">
        <v>0</v>
      </c>
      <c r="E69" s="8"/>
      <c r="F69" s="18" t="s">
        <v>519</v>
      </c>
    </row>
    <row r="70" spans="1:6" x14ac:dyDescent="0.35">
      <c r="A70" s="38" t="s">
        <v>162</v>
      </c>
      <c r="B70" s="24" t="s">
        <v>251</v>
      </c>
      <c r="C70" s="34" t="s">
        <v>25</v>
      </c>
      <c r="D70" s="32" t="s">
        <v>25</v>
      </c>
      <c r="E70" s="35" t="s">
        <v>536</v>
      </c>
      <c r="F70" s="24" t="s">
        <v>519</v>
      </c>
    </row>
    <row r="71" spans="1:6" x14ac:dyDescent="0.35">
      <c r="A71" s="38" t="s">
        <v>163</v>
      </c>
      <c r="B71" t="s">
        <v>252</v>
      </c>
      <c r="C71" s="17" t="s">
        <v>25</v>
      </c>
      <c r="D71" s="28" t="s">
        <v>25</v>
      </c>
    </row>
    <row r="72" spans="1:6" x14ac:dyDescent="0.35">
      <c r="A72" s="7" t="s">
        <v>164</v>
      </c>
      <c r="B72" t="s">
        <v>5</v>
      </c>
      <c r="C72" s="14" t="s">
        <v>24</v>
      </c>
      <c r="D72" s="27">
        <v>0</v>
      </c>
      <c r="E72" s="8"/>
      <c r="F72" s="18" t="s">
        <v>528</v>
      </c>
    </row>
    <row r="73" spans="1:6" x14ac:dyDescent="0.35">
      <c r="A73" s="7" t="s">
        <v>165</v>
      </c>
      <c r="B73" t="s">
        <v>261</v>
      </c>
      <c r="C73" s="7" t="s">
        <v>27</v>
      </c>
      <c r="D73" s="26" t="s">
        <v>27</v>
      </c>
      <c r="E73" s="8" t="s">
        <v>543</v>
      </c>
      <c r="F73" s="13" t="s">
        <v>524</v>
      </c>
    </row>
    <row r="74" spans="1:6" x14ac:dyDescent="0.35">
      <c r="A74" s="39" t="s">
        <v>166</v>
      </c>
      <c r="B74" t="s">
        <v>262</v>
      </c>
      <c r="C74" s="7" t="s">
        <v>26</v>
      </c>
      <c r="D74" s="26" t="s">
        <v>26</v>
      </c>
      <c r="E74" s="8" t="s">
        <v>543</v>
      </c>
      <c r="F74" s="13" t="s">
        <v>524</v>
      </c>
    </row>
    <row r="75" spans="1:6" x14ac:dyDescent="0.35">
      <c r="A75" s="39" t="s">
        <v>167</v>
      </c>
      <c r="B75" t="s">
        <v>262</v>
      </c>
      <c r="C75" s="7" t="s">
        <v>26</v>
      </c>
      <c r="D75" s="26" t="s">
        <v>26</v>
      </c>
      <c r="E75" s="8" t="s">
        <v>543</v>
      </c>
      <c r="F75" s="13" t="s">
        <v>524</v>
      </c>
    </row>
    <row r="76" spans="1:6" x14ac:dyDescent="0.35">
      <c r="A76" s="40" t="s">
        <v>168</v>
      </c>
      <c r="B76" t="s">
        <v>263</v>
      </c>
      <c r="C76" s="7" t="s">
        <v>26</v>
      </c>
      <c r="D76" s="26" t="s">
        <v>27</v>
      </c>
      <c r="E76" s="8" t="s">
        <v>543</v>
      </c>
      <c r="F76" s="13" t="s">
        <v>524</v>
      </c>
    </row>
    <row r="77" spans="1:6" x14ac:dyDescent="0.35">
      <c r="A77" s="40" t="s">
        <v>169</v>
      </c>
      <c r="B77" t="s">
        <v>263</v>
      </c>
      <c r="C77" s="7" t="s">
        <v>26</v>
      </c>
      <c r="D77" s="26" t="s">
        <v>27</v>
      </c>
      <c r="E77" s="8" t="s">
        <v>543</v>
      </c>
      <c r="F77" s="13" t="s">
        <v>524</v>
      </c>
    </row>
    <row r="78" spans="1:6" x14ac:dyDescent="0.35">
      <c r="A78" s="40" t="s">
        <v>170</v>
      </c>
      <c r="B78" t="s">
        <v>263</v>
      </c>
      <c r="C78" s="7" t="s">
        <v>26</v>
      </c>
      <c r="D78" s="26" t="s">
        <v>27</v>
      </c>
      <c r="E78" s="8" t="s">
        <v>543</v>
      </c>
      <c r="F78" s="13" t="s">
        <v>524</v>
      </c>
    </row>
    <row r="79" spans="1:6" x14ac:dyDescent="0.35">
      <c r="A79" s="7" t="s">
        <v>171</v>
      </c>
      <c r="B79" t="s">
        <v>87</v>
      </c>
      <c r="C79" s="14" t="s">
        <v>28</v>
      </c>
      <c r="D79" s="27">
        <v>0</v>
      </c>
      <c r="E79" s="8"/>
      <c r="F79" s="18" t="s">
        <v>519</v>
      </c>
    </row>
    <row r="80" spans="1:6" x14ac:dyDescent="0.35">
      <c r="A80" s="38" t="s">
        <v>172</v>
      </c>
      <c r="B80" t="s">
        <v>252</v>
      </c>
      <c r="C80" s="17" t="s">
        <v>25</v>
      </c>
      <c r="D80" s="28" t="s">
        <v>25</v>
      </c>
      <c r="F80" s="18"/>
    </row>
    <row r="81" spans="1:6" x14ac:dyDescent="0.35">
      <c r="A81" s="7" t="s">
        <v>173</v>
      </c>
      <c r="B81" s="24" t="s">
        <v>87</v>
      </c>
      <c r="C81" s="34" t="s">
        <v>28</v>
      </c>
      <c r="D81" s="32" t="s">
        <v>530</v>
      </c>
      <c r="E81" s="36"/>
      <c r="F81" s="24" t="s">
        <v>532</v>
      </c>
    </row>
    <row r="82" spans="1:6" x14ac:dyDescent="0.35">
      <c r="A82" s="7" t="s">
        <v>174</v>
      </c>
      <c r="B82" t="s">
        <v>88</v>
      </c>
      <c r="C82" s="7" t="s">
        <v>27</v>
      </c>
      <c r="D82" s="26" t="s">
        <v>27</v>
      </c>
      <c r="E82" s="8" t="s">
        <v>543</v>
      </c>
      <c r="F82" s="13" t="s">
        <v>524</v>
      </c>
    </row>
    <row r="83" spans="1:6" x14ac:dyDescent="0.35">
      <c r="A83" s="38" t="s">
        <v>175</v>
      </c>
      <c r="B83" t="s">
        <v>17</v>
      </c>
      <c r="C83" s="17" t="s">
        <v>25</v>
      </c>
      <c r="D83" s="26" t="s">
        <v>25</v>
      </c>
      <c r="E83" s="8"/>
      <c r="F83" t="s">
        <v>517</v>
      </c>
    </row>
    <row r="84" spans="1:6" x14ac:dyDescent="0.35">
      <c r="A84" s="7" t="s">
        <v>176</v>
      </c>
      <c r="B84" s="24" t="s">
        <v>265</v>
      </c>
      <c r="C84" s="34" t="s">
        <v>28</v>
      </c>
      <c r="D84" s="32" t="s">
        <v>530</v>
      </c>
      <c r="E84" s="35" t="s">
        <v>536</v>
      </c>
      <c r="F84" s="36"/>
    </row>
    <row r="85" spans="1:6" x14ac:dyDescent="0.35">
      <c r="A85" s="7" t="s">
        <v>177</v>
      </c>
      <c r="B85" s="24" t="s">
        <v>88</v>
      </c>
      <c r="C85" s="34" t="s">
        <v>24</v>
      </c>
      <c r="D85" s="32" t="s">
        <v>530</v>
      </c>
      <c r="E85" s="35" t="s">
        <v>536</v>
      </c>
      <c r="F85" s="36"/>
    </row>
    <row r="86" spans="1:6" x14ac:dyDescent="0.35">
      <c r="A86" s="7" t="s">
        <v>178</v>
      </c>
      <c r="B86" t="s">
        <v>266</v>
      </c>
      <c r="C86" s="14" t="s">
        <v>25</v>
      </c>
      <c r="D86" s="27">
        <v>0</v>
      </c>
      <c r="E86" s="8"/>
      <c r="F86" s="18" t="s">
        <v>519</v>
      </c>
    </row>
    <row r="87" spans="1:6" x14ac:dyDescent="0.35">
      <c r="A87" s="7" t="s">
        <v>179</v>
      </c>
      <c r="B87" t="s">
        <v>267</v>
      </c>
      <c r="C87" s="14" t="s">
        <v>25</v>
      </c>
      <c r="D87" s="27">
        <v>0</v>
      </c>
      <c r="E87" s="8"/>
      <c r="F87" s="18" t="s">
        <v>519</v>
      </c>
    </row>
    <row r="88" spans="1:6" x14ac:dyDescent="0.35">
      <c r="A88" s="7" t="s">
        <v>180</v>
      </c>
      <c r="B88" t="s">
        <v>35</v>
      </c>
      <c r="C88" s="14" t="s">
        <v>25</v>
      </c>
      <c r="D88" s="27">
        <v>0</v>
      </c>
      <c r="E88" s="8"/>
      <c r="F88" s="18" t="s">
        <v>519</v>
      </c>
    </row>
    <row r="89" spans="1:6" x14ac:dyDescent="0.35">
      <c r="A89" s="7" t="s">
        <v>181</v>
      </c>
      <c r="B89" t="s">
        <v>268</v>
      </c>
      <c r="C89" s="14" t="s">
        <v>25</v>
      </c>
      <c r="D89" s="27">
        <v>0</v>
      </c>
      <c r="E89" s="8"/>
      <c r="F89" s="18" t="s">
        <v>519</v>
      </c>
    </row>
    <row r="90" spans="1:6" x14ac:dyDescent="0.35">
      <c r="A90" s="7" t="s">
        <v>182</v>
      </c>
      <c r="B90" s="24" t="s">
        <v>11</v>
      </c>
      <c r="C90" s="34" t="s">
        <v>28</v>
      </c>
      <c r="D90" s="32" t="s">
        <v>530</v>
      </c>
      <c r="E90" s="35" t="s">
        <v>536</v>
      </c>
      <c r="F90" s="36"/>
    </row>
    <row r="91" spans="1:6" x14ac:dyDescent="0.35">
      <c r="A91" s="7" t="s">
        <v>183</v>
      </c>
      <c r="B91" t="s">
        <v>6</v>
      </c>
      <c r="C91" s="14" t="s">
        <v>25</v>
      </c>
      <c r="D91" s="27">
        <v>0</v>
      </c>
      <c r="E91" s="8"/>
      <c r="F91" s="18" t="s">
        <v>519</v>
      </c>
    </row>
    <row r="92" spans="1:6" x14ac:dyDescent="0.35">
      <c r="A92" s="7" t="s">
        <v>184</v>
      </c>
      <c r="B92" t="s">
        <v>269</v>
      </c>
      <c r="C92" s="14" t="s">
        <v>25</v>
      </c>
      <c r="D92" s="27">
        <v>0</v>
      </c>
      <c r="E92" s="8"/>
      <c r="F92" s="18" t="s">
        <v>519</v>
      </c>
    </row>
    <row r="93" spans="1:6" x14ac:dyDescent="0.35">
      <c r="A93" s="7" t="s">
        <v>185</v>
      </c>
      <c r="B93" t="s">
        <v>270</v>
      </c>
      <c r="C93" s="14" t="s">
        <v>25</v>
      </c>
      <c r="D93" s="27">
        <v>0</v>
      </c>
      <c r="E93" s="8"/>
      <c r="F93" s="18" t="s">
        <v>519</v>
      </c>
    </row>
    <row r="94" spans="1:6" x14ac:dyDescent="0.35">
      <c r="A94" s="7" t="s">
        <v>186</v>
      </c>
      <c r="B94" t="s">
        <v>271</v>
      </c>
      <c r="C94" s="14" t="s">
        <v>25</v>
      </c>
      <c r="D94" s="27">
        <v>0</v>
      </c>
      <c r="E94" s="8"/>
      <c r="F94" s="18" t="s">
        <v>519</v>
      </c>
    </row>
    <row r="95" spans="1:6" x14ac:dyDescent="0.35">
      <c r="A95" s="7" t="s">
        <v>187</v>
      </c>
      <c r="B95" t="s">
        <v>272</v>
      </c>
      <c r="C95" s="14" t="s">
        <v>25</v>
      </c>
      <c r="D95" s="27">
        <v>0</v>
      </c>
      <c r="E95" s="8"/>
      <c r="F95" s="18" t="s">
        <v>519</v>
      </c>
    </row>
    <row r="96" spans="1:6" x14ac:dyDescent="0.35">
      <c r="A96" s="7" t="s">
        <v>188</v>
      </c>
      <c r="B96" t="s">
        <v>273</v>
      </c>
      <c r="C96" s="14" t="s">
        <v>25</v>
      </c>
      <c r="D96" s="27">
        <v>0</v>
      </c>
      <c r="E96" s="8"/>
      <c r="F96" s="18" t="s">
        <v>519</v>
      </c>
    </row>
    <row r="97" spans="1:6" x14ac:dyDescent="0.35">
      <c r="A97" s="7" t="s">
        <v>189</v>
      </c>
      <c r="B97" t="s">
        <v>274</v>
      </c>
      <c r="C97" s="7" t="s">
        <v>28</v>
      </c>
      <c r="D97" s="26" t="s">
        <v>28</v>
      </c>
    </row>
    <row r="98" spans="1:6" x14ac:dyDescent="0.35">
      <c r="A98" s="7" t="s">
        <v>190</v>
      </c>
      <c r="B98" t="s">
        <v>88</v>
      </c>
      <c r="C98" s="14" t="s">
        <v>24</v>
      </c>
      <c r="D98" s="27" t="s">
        <v>530</v>
      </c>
      <c r="F98" s="18" t="s">
        <v>531</v>
      </c>
    </row>
    <row r="99" spans="1:6" x14ac:dyDescent="0.35">
      <c r="A99" s="7" t="s">
        <v>191</v>
      </c>
      <c r="B99" t="s">
        <v>31</v>
      </c>
      <c r="C99" s="14" t="s">
        <v>25</v>
      </c>
      <c r="D99" s="27" t="s">
        <v>28</v>
      </c>
      <c r="F99" s="18" t="s">
        <v>519</v>
      </c>
    </row>
    <row r="100" spans="1:6" x14ac:dyDescent="0.35">
      <c r="A100" s="7" t="s">
        <v>192</v>
      </c>
      <c r="B100" t="s">
        <v>275</v>
      </c>
      <c r="C100" s="7" t="s">
        <v>28</v>
      </c>
      <c r="D100" s="26" t="s">
        <v>28</v>
      </c>
    </row>
    <row r="101" spans="1:6" x14ac:dyDescent="0.35">
      <c r="A101" s="7" t="s">
        <v>193</v>
      </c>
      <c r="B101" t="s">
        <v>88</v>
      </c>
      <c r="C101" s="14" t="s">
        <v>24</v>
      </c>
      <c r="D101" s="27" t="s">
        <v>530</v>
      </c>
      <c r="F101" s="18" t="s">
        <v>531</v>
      </c>
    </row>
    <row r="102" spans="1:6" x14ac:dyDescent="0.35">
      <c r="A102" s="7" t="s">
        <v>194</v>
      </c>
      <c r="B102" t="s">
        <v>276</v>
      </c>
      <c r="C102" s="14" t="s">
        <v>24</v>
      </c>
      <c r="D102" s="27">
        <v>0</v>
      </c>
      <c r="E102" s="8"/>
      <c r="F102" s="18" t="s">
        <v>528</v>
      </c>
    </row>
    <row r="103" spans="1:6" x14ac:dyDescent="0.35">
      <c r="A103" s="7" t="s">
        <v>195</v>
      </c>
      <c r="B103" t="s">
        <v>277</v>
      </c>
      <c r="C103" s="14" t="s">
        <v>25</v>
      </c>
      <c r="D103" s="27">
        <v>0</v>
      </c>
      <c r="E103" s="8"/>
      <c r="F103" s="18" t="s">
        <v>519</v>
      </c>
    </row>
    <row r="104" spans="1:6" x14ac:dyDescent="0.35">
      <c r="A104" s="7" t="s">
        <v>196</v>
      </c>
      <c r="B104" t="s">
        <v>8</v>
      </c>
      <c r="C104" s="14" t="s">
        <v>25</v>
      </c>
      <c r="D104" s="27">
        <v>0</v>
      </c>
      <c r="E104" s="8"/>
      <c r="F104" s="18" t="s">
        <v>519</v>
      </c>
    </row>
    <row r="105" spans="1:6" x14ac:dyDescent="0.35">
      <c r="A105" s="7" t="s">
        <v>197</v>
      </c>
      <c r="B105" t="s">
        <v>14</v>
      </c>
      <c r="C105" s="14" t="s">
        <v>28</v>
      </c>
      <c r="D105" s="27" t="s">
        <v>28</v>
      </c>
      <c r="E105" s="20"/>
      <c r="F105" s="18" t="s">
        <v>519</v>
      </c>
    </row>
    <row r="106" spans="1:6" x14ac:dyDescent="0.35">
      <c r="A106" s="7" t="s">
        <v>198</v>
      </c>
      <c r="B106" t="s">
        <v>90</v>
      </c>
      <c r="C106" s="17" t="s">
        <v>28</v>
      </c>
      <c r="D106" s="28" t="s">
        <v>28</v>
      </c>
      <c r="E106" s="20"/>
      <c r="F106" s="13" t="s">
        <v>527</v>
      </c>
    </row>
    <row r="107" spans="1:6" x14ac:dyDescent="0.35">
      <c r="A107" s="7" t="s">
        <v>199</v>
      </c>
      <c r="B107" t="s">
        <v>278</v>
      </c>
      <c r="C107" s="17" t="s">
        <v>28</v>
      </c>
      <c r="D107" s="28" t="s">
        <v>28</v>
      </c>
      <c r="E107" s="20"/>
      <c r="F107" s="13" t="s">
        <v>527</v>
      </c>
    </row>
    <row r="108" spans="1:6" x14ac:dyDescent="0.35">
      <c r="A108" s="7" t="s">
        <v>200</v>
      </c>
      <c r="B108" t="s">
        <v>251</v>
      </c>
      <c r="C108" s="17" t="s">
        <v>28</v>
      </c>
      <c r="D108" s="28" t="s">
        <v>28</v>
      </c>
      <c r="E108" s="20"/>
      <c r="F108" s="13" t="s">
        <v>527</v>
      </c>
    </row>
    <row r="109" spans="1:6" x14ac:dyDescent="0.35">
      <c r="A109" s="7" t="s">
        <v>201</v>
      </c>
      <c r="B109" t="s">
        <v>3</v>
      </c>
      <c r="C109" s="17" t="s">
        <v>28</v>
      </c>
      <c r="D109" s="28" t="s">
        <v>28</v>
      </c>
      <c r="E109" s="20"/>
      <c r="F109" s="13" t="s">
        <v>527</v>
      </c>
    </row>
    <row r="110" spans="1:6" x14ac:dyDescent="0.35">
      <c r="A110" s="7" t="s">
        <v>202</v>
      </c>
      <c r="B110" t="s">
        <v>279</v>
      </c>
      <c r="C110" s="17" t="s">
        <v>28</v>
      </c>
      <c r="D110" s="28" t="s">
        <v>28</v>
      </c>
      <c r="E110" s="20"/>
      <c r="F110" s="13" t="s">
        <v>527</v>
      </c>
    </row>
    <row r="111" spans="1:6" x14ac:dyDescent="0.35">
      <c r="A111" s="7" t="s">
        <v>203</v>
      </c>
      <c r="B111" t="s">
        <v>280</v>
      </c>
      <c r="C111" s="17" t="s">
        <v>28</v>
      </c>
      <c r="D111" s="28" t="s">
        <v>28</v>
      </c>
      <c r="E111" s="20"/>
      <c r="F111" s="13" t="s">
        <v>527</v>
      </c>
    </row>
    <row r="112" spans="1:6" x14ac:dyDescent="0.35">
      <c r="A112" s="7" t="s">
        <v>204</v>
      </c>
      <c r="B112" t="s">
        <v>4</v>
      </c>
      <c r="C112" s="17" t="s">
        <v>28</v>
      </c>
      <c r="D112" s="28" t="s">
        <v>28</v>
      </c>
      <c r="E112" s="20"/>
      <c r="F112" s="13" t="s">
        <v>527</v>
      </c>
    </row>
    <row r="113" spans="1:6" x14ac:dyDescent="0.35">
      <c r="A113" s="7" t="s">
        <v>205</v>
      </c>
      <c r="B113" t="s">
        <v>278</v>
      </c>
      <c r="C113" s="17" t="s">
        <v>28</v>
      </c>
      <c r="D113" s="28" t="s">
        <v>28</v>
      </c>
      <c r="E113" s="20"/>
      <c r="F113" s="13" t="s">
        <v>527</v>
      </c>
    </row>
    <row r="114" spans="1:6" x14ac:dyDescent="0.35">
      <c r="A114" s="7" t="s">
        <v>206</v>
      </c>
      <c r="B114" t="s">
        <v>252</v>
      </c>
      <c r="C114" s="17" t="s">
        <v>28</v>
      </c>
      <c r="D114" s="28" t="s">
        <v>28</v>
      </c>
      <c r="E114" s="20"/>
      <c r="F114" s="13" t="s">
        <v>527</v>
      </c>
    </row>
    <row r="115" spans="1:6" x14ac:dyDescent="0.35">
      <c r="A115" s="7" t="s">
        <v>207</v>
      </c>
      <c r="B115" t="s">
        <v>3</v>
      </c>
      <c r="C115" s="17" t="s">
        <v>28</v>
      </c>
      <c r="D115" s="28" t="s">
        <v>28</v>
      </c>
      <c r="E115" s="20"/>
      <c r="F115" s="13" t="s">
        <v>527</v>
      </c>
    </row>
    <row r="116" spans="1:6" x14ac:dyDescent="0.35">
      <c r="A116" s="7" t="s">
        <v>208</v>
      </c>
      <c r="B116" t="s">
        <v>279</v>
      </c>
      <c r="C116" s="17" t="s">
        <v>28</v>
      </c>
      <c r="D116" s="28" t="s">
        <v>28</v>
      </c>
      <c r="E116" s="20"/>
      <c r="F116" s="13" t="s">
        <v>527</v>
      </c>
    </row>
    <row r="117" spans="1:6" x14ac:dyDescent="0.35">
      <c r="A117" s="7" t="s">
        <v>209</v>
      </c>
      <c r="B117" t="s">
        <v>4</v>
      </c>
      <c r="C117" s="17" t="s">
        <v>28</v>
      </c>
      <c r="D117" s="28" t="s">
        <v>28</v>
      </c>
      <c r="E117" s="20"/>
      <c r="F117" s="13" t="s">
        <v>527</v>
      </c>
    </row>
    <row r="118" spans="1:6" x14ac:dyDescent="0.35">
      <c r="A118" s="7" t="s">
        <v>210</v>
      </c>
      <c r="B118" t="s">
        <v>252</v>
      </c>
      <c r="C118" s="17" t="s">
        <v>28</v>
      </c>
      <c r="D118" s="28" t="s">
        <v>28</v>
      </c>
      <c r="E118" s="20"/>
      <c r="F118" s="13" t="s">
        <v>527</v>
      </c>
    </row>
    <row r="119" spans="1:6" x14ac:dyDescent="0.35">
      <c r="A119" s="7" t="s">
        <v>211</v>
      </c>
      <c r="B119" t="s">
        <v>266</v>
      </c>
      <c r="C119" s="14" t="s">
        <v>25</v>
      </c>
      <c r="D119" s="27">
        <v>0</v>
      </c>
      <c r="E119" s="8"/>
      <c r="F119" s="18" t="s">
        <v>519</v>
      </c>
    </row>
    <row r="120" spans="1:6" x14ac:dyDescent="0.35">
      <c r="A120" s="7" t="s">
        <v>212</v>
      </c>
      <c r="B120" t="s">
        <v>281</v>
      </c>
      <c r="C120" s="14" t="s">
        <v>25</v>
      </c>
      <c r="D120" s="27">
        <v>0</v>
      </c>
      <c r="E120" s="8"/>
      <c r="F120" s="18" t="s">
        <v>519</v>
      </c>
    </row>
    <row r="121" spans="1:6" x14ac:dyDescent="0.35">
      <c r="A121" s="7" t="s">
        <v>213</v>
      </c>
      <c r="B121" t="s">
        <v>282</v>
      </c>
      <c r="C121" s="14" t="s">
        <v>25</v>
      </c>
      <c r="D121" s="27">
        <v>0</v>
      </c>
      <c r="E121" s="8"/>
      <c r="F121" s="18" t="s">
        <v>519</v>
      </c>
    </row>
    <row r="122" spans="1:6" x14ac:dyDescent="0.35">
      <c r="A122" s="7" t="s">
        <v>214</v>
      </c>
      <c r="B122" t="s">
        <v>31</v>
      </c>
      <c r="C122" s="14" t="s">
        <v>25</v>
      </c>
      <c r="D122" s="27" t="s">
        <v>28</v>
      </c>
      <c r="F122" s="18" t="s">
        <v>519</v>
      </c>
    </row>
    <row r="123" spans="1:6" x14ac:dyDescent="0.35">
      <c r="A123" s="7" t="s">
        <v>215</v>
      </c>
      <c r="B123" t="s">
        <v>88</v>
      </c>
      <c r="C123" s="7" t="s">
        <v>24</v>
      </c>
      <c r="D123" s="26" t="s">
        <v>28</v>
      </c>
    </row>
    <row r="124" spans="1:6" x14ac:dyDescent="0.35">
      <c r="A124" s="7" t="s">
        <v>216</v>
      </c>
      <c r="B124" t="s">
        <v>31</v>
      </c>
      <c r="C124" s="14" t="s">
        <v>25</v>
      </c>
      <c r="D124" s="27" t="s">
        <v>28</v>
      </c>
      <c r="F124" s="18" t="s">
        <v>519</v>
      </c>
    </row>
    <row r="125" spans="1:6" x14ac:dyDescent="0.35">
      <c r="A125" s="7" t="s">
        <v>217</v>
      </c>
      <c r="B125" t="s">
        <v>34</v>
      </c>
      <c r="C125" s="7" t="s">
        <v>27</v>
      </c>
      <c r="D125" s="26" t="s">
        <v>27</v>
      </c>
      <c r="E125" s="8" t="s">
        <v>543</v>
      </c>
      <c r="F125" s="13" t="s">
        <v>524</v>
      </c>
    </row>
    <row r="126" spans="1:6" x14ac:dyDescent="0.35">
      <c r="A126" s="7" t="s">
        <v>218</v>
      </c>
      <c r="B126" t="s">
        <v>260</v>
      </c>
      <c r="C126" s="7" t="s">
        <v>28</v>
      </c>
      <c r="D126" s="26" t="s">
        <v>28</v>
      </c>
    </row>
    <row r="127" spans="1:6" x14ac:dyDescent="0.35">
      <c r="A127" s="7" t="s">
        <v>219</v>
      </c>
      <c r="B127" t="s">
        <v>277</v>
      </c>
      <c r="C127" s="14" t="s">
        <v>25</v>
      </c>
      <c r="D127" s="27" t="s">
        <v>28</v>
      </c>
      <c r="F127" s="18" t="s">
        <v>519</v>
      </c>
    </row>
    <row r="128" spans="1:6" x14ac:dyDescent="0.35">
      <c r="A128" s="7" t="s">
        <v>220</v>
      </c>
      <c r="B128" t="s">
        <v>87</v>
      </c>
      <c r="C128" s="14" t="s">
        <v>28</v>
      </c>
      <c r="D128" s="27">
        <v>0</v>
      </c>
      <c r="E128" s="8"/>
      <c r="F128" s="18" t="s">
        <v>519</v>
      </c>
    </row>
    <row r="129" spans="1:6" x14ac:dyDescent="0.35">
      <c r="A129" s="7" t="s">
        <v>221</v>
      </c>
      <c r="B129" s="24" t="s">
        <v>33</v>
      </c>
      <c r="C129" s="34" t="s">
        <v>28</v>
      </c>
      <c r="D129" s="32" t="s">
        <v>530</v>
      </c>
      <c r="E129" s="35" t="s">
        <v>536</v>
      </c>
      <c r="F129" s="36"/>
    </row>
    <row r="130" spans="1:6" x14ac:dyDescent="0.35">
      <c r="A130" s="7" t="s">
        <v>222</v>
      </c>
      <c r="B130" s="24" t="s">
        <v>88</v>
      </c>
      <c r="C130" s="34" t="s">
        <v>24</v>
      </c>
      <c r="D130" s="32" t="s">
        <v>530</v>
      </c>
      <c r="E130" s="35" t="s">
        <v>536</v>
      </c>
      <c r="F130" s="36"/>
    </row>
    <row r="131" spans="1:6" x14ac:dyDescent="0.35">
      <c r="A131" s="7" t="s">
        <v>223</v>
      </c>
      <c r="B131" t="s">
        <v>33</v>
      </c>
      <c r="C131" s="7" t="s">
        <v>27</v>
      </c>
      <c r="D131" s="26" t="s">
        <v>27</v>
      </c>
      <c r="E131" s="8" t="s">
        <v>543</v>
      </c>
      <c r="F131" s="13" t="s">
        <v>524</v>
      </c>
    </row>
    <row r="132" spans="1:6" x14ac:dyDescent="0.35">
      <c r="A132" s="7" t="s">
        <v>224</v>
      </c>
      <c r="B132" t="s">
        <v>34</v>
      </c>
      <c r="C132" s="7" t="s">
        <v>27</v>
      </c>
      <c r="D132" s="26" t="s">
        <v>27</v>
      </c>
      <c r="E132" s="8" t="s">
        <v>543</v>
      </c>
      <c r="F132" s="13" t="s">
        <v>524</v>
      </c>
    </row>
    <row r="133" spans="1:6" x14ac:dyDescent="0.35">
      <c r="A133" s="7" t="s">
        <v>225</v>
      </c>
      <c r="B133" t="s">
        <v>87</v>
      </c>
      <c r="C133" s="14" t="s">
        <v>28</v>
      </c>
      <c r="D133" s="27">
        <v>0</v>
      </c>
      <c r="E133" s="8"/>
      <c r="F133" s="18" t="s">
        <v>519</v>
      </c>
    </row>
    <row r="134" spans="1:6" x14ac:dyDescent="0.35">
      <c r="A134" s="7" t="s">
        <v>226</v>
      </c>
      <c r="B134" t="s">
        <v>84</v>
      </c>
      <c r="C134" s="14" t="s">
        <v>24</v>
      </c>
      <c r="D134" s="27" t="s">
        <v>28</v>
      </c>
      <c r="F134" s="18" t="s">
        <v>528</v>
      </c>
    </row>
    <row r="135" spans="1:6" x14ac:dyDescent="0.35">
      <c r="A135" s="7" t="s">
        <v>227</v>
      </c>
      <c r="B135" t="s">
        <v>277</v>
      </c>
      <c r="C135" s="14" t="s">
        <v>25</v>
      </c>
      <c r="D135" s="27" t="s">
        <v>28</v>
      </c>
      <c r="F135" s="18" t="s">
        <v>519</v>
      </c>
    </row>
    <row r="136" spans="1:6" x14ac:dyDescent="0.35">
      <c r="A136" s="7" t="s">
        <v>228</v>
      </c>
      <c r="B136" t="s">
        <v>8</v>
      </c>
      <c r="C136" s="14" t="s">
        <v>25</v>
      </c>
      <c r="D136" s="27">
        <v>0</v>
      </c>
      <c r="E136" s="8"/>
      <c r="F136" s="18" t="s">
        <v>519</v>
      </c>
    </row>
    <row r="137" spans="1:6" x14ac:dyDescent="0.35">
      <c r="A137" s="7" t="s">
        <v>229</v>
      </c>
      <c r="B137" t="s">
        <v>256</v>
      </c>
      <c r="C137" s="7" t="s">
        <v>28</v>
      </c>
      <c r="D137" s="26" t="s">
        <v>28</v>
      </c>
    </row>
    <row r="138" spans="1:6" x14ac:dyDescent="0.35">
      <c r="A138" s="7" t="s">
        <v>230</v>
      </c>
      <c r="B138" t="s">
        <v>256</v>
      </c>
      <c r="C138" s="7" t="s">
        <v>28</v>
      </c>
      <c r="D138" s="26" t="s">
        <v>28</v>
      </c>
    </row>
    <row r="139" spans="1:6" x14ac:dyDescent="0.35">
      <c r="A139" s="7" t="s">
        <v>231</v>
      </c>
      <c r="B139" t="s">
        <v>5</v>
      </c>
      <c r="C139" s="14" t="s">
        <v>24</v>
      </c>
      <c r="D139" s="27">
        <v>0</v>
      </c>
      <c r="E139" s="8"/>
      <c r="F139" s="18" t="s">
        <v>528</v>
      </c>
    </row>
    <row r="140" spans="1:6" x14ac:dyDescent="0.35">
      <c r="A140" s="7" t="s">
        <v>232</v>
      </c>
      <c r="B140" t="s">
        <v>31</v>
      </c>
      <c r="C140" s="14" t="s">
        <v>25</v>
      </c>
      <c r="D140" s="27" t="s">
        <v>28</v>
      </c>
      <c r="F140" s="18" t="s">
        <v>519</v>
      </c>
    </row>
    <row r="141" spans="1:6" x14ac:dyDescent="0.35">
      <c r="A141" s="7" t="s">
        <v>233</v>
      </c>
      <c r="B141" s="24" t="s">
        <v>88</v>
      </c>
      <c r="C141" s="34" t="s">
        <v>24</v>
      </c>
      <c r="D141" s="32" t="s">
        <v>530</v>
      </c>
      <c r="E141" s="35" t="s">
        <v>536</v>
      </c>
      <c r="F141" s="36"/>
    </row>
    <row r="142" spans="1:6" x14ac:dyDescent="0.35">
      <c r="A142" s="7" t="s">
        <v>234</v>
      </c>
      <c r="B142" t="s">
        <v>34</v>
      </c>
      <c r="C142" s="7" t="s">
        <v>27</v>
      </c>
      <c r="D142" s="26" t="s">
        <v>27</v>
      </c>
      <c r="E142" s="8" t="s">
        <v>543</v>
      </c>
      <c r="F142" s="13" t="s">
        <v>524</v>
      </c>
    </row>
    <row r="143" spans="1:6" x14ac:dyDescent="0.35">
      <c r="A143" s="7" t="s">
        <v>235</v>
      </c>
      <c r="B143" t="s">
        <v>8</v>
      </c>
      <c r="C143" s="14" t="s">
        <v>25</v>
      </c>
      <c r="D143" s="27">
        <v>0</v>
      </c>
      <c r="E143" s="8"/>
      <c r="F143" s="18" t="s">
        <v>519</v>
      </c>
    </row>
    <row r="144" spans="1:6" x14ac:dyDescent="0.35">
      <c r="A144" s="7" t="s">
        <v>236</v>
      </c>
      <c r="B144" t="s">
        <v>256</v>
      </c>
      <c r="C144" s="7" t="s">
        <v>28</v>
      </c>
      <c r="D144" s="26" t="s">
        <v>28</v>
      </c>
    </row>
    <row r="145" spans="1:6" x14ac:dyDescent="0.35">
      <c r="A145" s="7" t="s">
        <v>237</v>
      </c>
      <c r="B145" t="s">
        <v>5</v>
      </c>
      <c r="C145" s="14" t="s">
        <v>24</v>
      </c>
      <c r="D145" s="27">
        <v>0</v>
      </c>
      <c r="E145" s="8"/>
      <c r="F145" s="18" t="s">
        <v>528</v>
      </c>
    </row>
    <row r="146" spans="1:6" x14ac:dyDescent="0.35">
      <c r="A146" s="7" t="s">
        <v>238</v>
      </c>
      <c r="B146" t="s">
        <v>87</v>
      </c>
      <c r="C146" s="14" t="s">
        <v>28</v>
      </c>
      <c r="D146" s="27">
        <v>0</v>
      </c>
      <c r="E146" s="8"/>
      <c r="F146" s="18" t="s">
        <v>519</v>
      </c>
    </row>
    <row r="147" spans="1:6" x14ac:dyDescent="0.35">
      <c r="A147" s="7" t="s">
        <v>239</v>
      </c>
      <c r="B147" t="s">
        <v>277</v>
      </c>
      <c r="C147" s="14" t="s">
        <v>25</v>
      </c>
      <c r="D147" s="27" t="s">
        <v>28</v>
      </c>
      <c r="F147" s="18" t="s">
        <v>519</v>
      </c>
    </row>
    <row r="148" spans="1:6" x14ac:dyDescent="0.35">
      <c r="A148" s="7" t="s">
        <v>240</v>
      </c>
      <c r="B148" t="s">
        <v>84</v>
      </c>
      <c r="C148" s="14" t="s">
        <v>24</v>
      </c>
      <c r="D148" s="27">
        <v>0</v>
      </c>
      <c r="E148" s="8"/>
      <c r="F148" s="18" t="s">
        <v>528</v>
      </c>
    </row>
    <row r="149" spans="1:6" x14ac:dyDescent="0.35">
      <c r="A149" s="7" t="s">
        <v>241</v>
      </c>
      <c r="B149" t="s">
        <v>31</v>
      </c>
      <c r="C149" s="14" t="s">
        <v>25</v>
      </c>
      <c r="D149" s="27" t="s">
        <v>28</v>
      </c>
      <c r="F149" s="18" t="s">
        <v>519</v>
      </c>
    </row>
    <row r="150" spans="1:6" x14ac:dyDescent="0.35">
      <c r="A150" s="7" t="s">
        <v>242</v>
      </c>
      <c r="B150" t="s">
        <v>33</v>
      </c>
      <c r="C150" s="7" t="s">
        <v>27</v>
      </c>
      <c r="D150" s="26" t="s">
        <v>27</v>
      </c>
      <c r="E150" s="8" t="s">
        <v>543</v>
      </c>
      <c r="F150" s="13" t="s">
        <v>524</v>
      </c>
    </row>
    <row r="151" spans="1:6" x14ac:dyDescent="0.35">
      <c r="A151" s="7" t="s">
        <v>243</v>
      </c>
      <c r="B151" s="24" t="s">
        <v>88</v>
      </c>
      <c r="C151" s="34" t="s">
        <v>24</v>
      </c>
      <c r="D151" s="32" t="s">
        <v>530</v>
      </c>
      <c r="E151" s="35" t="s">
        <v>536</v>
      </c>
      <c r="F151" s="36"/>
    </row>
    <row r="152" spans="1:6" x14ac:dyDescent="0.35">
      <c r="A152" s="40" t="s">
        <v>244</v>
      </c>
      <c r="B152" t="s">
        <v>283</v>
      </c>
      <c r="C152" s="7" t="s">
        <v>27</v>
      </c>
      <c r="D152" s="26" t="s">
        <v>27</v>
      </c>
      <c r="E152" s="8" t="s">
        <v>543</v>
      </c>
      <c r="F152" s="37" t="s">
        <v>525</v>
      </c>
    </row>
  </sheetData>
  <autoFilter ref="A2:F152" xr:uid="{00000000-0009-0000-0000-000001000000}"/>
  <mergeCells count="2">
    <mergeCell ref="A1:B1"/>
    <mergeCell ref="F20:F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9"/>
  <sheetViews>
    <sheetView zoomScale="85" zoomScaleNormal="85" workbookViewId="0">
      <pane ySplit="2" topLeftCell="A90" activePane="bottomLeft" state="frozen"/>
      <selection pane="bottomLeft" activeCell="F106" sqref="F106"/>
    </sheetView>
  </sheetViews>
  <sheetFormatPr defaultRowHeight="14.5" x14ac:dyDescent="0.35"/>
  <cols>
    <col min="1" max="1" width="10.1796875" style="7" bestFit="1" customWidth="1"/>
    <col min="2" max="2" width="64" bestFit="1" customWidth="1"/>
    <col min="3" max="3" width="14.81640625" style="7" bestFit="1" customWidth="1"/>
    <col min="4" max="4" width="17.54296875" style="1" customWidth="1"/>
    <col min="5" max="5" width="17.81640625" style="2" customWidth="1"/>
    <col min="6" max="6" width="47.453125" style="2" customWidth="1"/>
    <col min="7" max="7" width="18.26953125" style="2" customWidth="1"/>
    <col min="8" max="8" width="73.7265625" customWidth="1"/>
  </cols>
  <sheetData>
    <row r="1" spans="1:8" x14ac:dyDescent="0.35">
      <c r="A1" s="43" t="s">
        <v>285</v>
      </c>
      <c r="B1" s="43"/>
      <c r="C1" s="6" t="s">
        <v>0</v>
      </c>
      <c r="D1" s="1" t="s">
        <v>0</v>
      </c>
      <c r="E1" s="1"/>
      <c r="F1" s="1"/>
      <c r="G1"/>
    </row>
    <row r="2" spans="1:8" ht="29" x14ac:dyDescent="0.35">
      <c r="A2" s="6" t="s">
        <v>1</v>
      </c>
      <c r="B2" s="10" t="s">
        <v>2</v>
      </c>
      <c r="C2" s="9" t="s">
        <v>18</v>
      </c>
      <c r="D2" s="25" t="s">
        <v>29</v>
      </c>
      <c r="E2" s="9" t="s">
        <v>42</v>
      </c>
      <c r="F2" s="9" t="s">
        <v>516</v>
      </c>
      <c r="G2" s="4" t="s">
        <v>18</v>
      </c>
      <c r="H2" s="5"/>
    </row>
    <row r="3" spans="1:8" x14ac:dyDescent="0.35">
      <c r="A3" s="7" t="s">
        <v>286</v>
      </c>
      <c r="B3" t="s">
        <v>422</v>
      </c>
      <c r="C3" s="14" t="s">
        <v>28</v>
      </c>
      <c r="D3" s="27" t="s">
        <v>530</v>
      </c>
      <c r="E3" s="8"/>
      <c r="F3" s="18" t="s">
        <v>521</v>
      </c>
      <c r="G3" s="4">
        <v>0</v>
      </c>
      <c r="H3" s="5" t="s">
        <v>19</v>
      </c>
    </row>
    <row r="4" spans="1:8" x14ac:dyDescent="0.35">
      <c r="A4" s="7" t="s">
        <v>287</v>
      </c>
      <c r="B4" t="s">
        <v>82</v>
      </c>
      <c r="C4" s="14" t="s">
        <v>28</v>
      </c>
      <c r="D4" s="27" t="s">
        <v>530</v>
      </c>
      <c r="E4" s="8"/>
      <c r="F4" s="18" t="s">
        <v>521</v>
      </c>
      <c r="G4" s="4">
        <v>1</v>
      </c>
      <c r="H4" s="5" t="s">
        <v>20</v>
      </c>
    </row>
    <row r="5" spans="1:8" x14ac:dyDescent="0.35">
      <c r="A5" s="7" t="s">
        <v>288</v>
      </c>
      <c r="B5" t="s">
        <v>88</v>
      </c>
      <c r="C5" s="7" t="s">
        <v>27</v>
      </c>
      <c r="D5" s="26" t="s">
        <v>27</v>
      </c>
      <c r="E5" s="8" t="s">
        <v>543</v>
      </c>
      <c r="G5" s="4">
        <v>2</v>
      </c>
      <c r="H5" s="5" t="s">
        <v>21</v>
      </c>
    </row>
    <row r="6" spans="1:8" x14ac:dyDescent="0.35">
      <c r="A6" s="7" t="s">
        <v>289</v>
      </c>
      <c r="B6" t="s">
        <v>82</v>
      </c>
      <c r="C6" s="14" t="s">
        <v>28</v>
      </c>
      <c r="D6" s="27" t="s">
        <v>530</v>
      </c>
      <c r="E6" s="8"/>
      <c r="F6" s="18" t="s">
        <v>521</v>
      </c>
      <c r="G6" s="4">
        <v>3</v>
      </c>
      <c r="H6" s="5" t="s">
        <v>22</v>
      </c>
    </row>
    <row r="7" spans="1:8" x14ac:dyDescent="0.35">
      <c r="A7" s="7" t="s">
        <v>290</v>
      </c>
      <c r="B7" t="s">
        <v>88</v>
      </c>
      <c r="C7" s="14" t="s">
        <v>24</v>
      </c>
      <c r="D7" s="27" t="s">
        <v>530</v>
      </c>
      <c r="F7" s="18" t="s">
        <v>534</v>
      </c>
      <c r="G7" s="4">
        <v>4</v>
      </c>
      <c r="H7" s="5" t="s">
        <v>23</v>
      </c>
    </row>
    <row r="8" spans="1:8" x14ac:dyDescent="0.35">
      <c r="A8" s="7" t="s">
        <v>291</v>
      </c>
      <c r="B8" s="24" t="s">
        <v>8</v>
      </c>
      <c r="C8" s="34" t="s">
        <v>25</v>
      </c>
      <c r="D8" s="32" t="s">
        <v>530</v>
      </c>
      <c r="E8" s="32" t="s">
        <v>537</v>
      </c>
      <c r="F8" s="24"/>
      <c r="G8" s="4">
        <v>5</v>
      </c>
      <c r="H8" s="5" t="s">
        <v>529</v>
      </c>
    </row>
    <row r="9" spans="1:8" x14ac:dyDescent="0.35">
      <c r="A9" s="7" t="s">
        <v>292</v>
      </c>
      <c r="B9" t="s">
        <v>88</v>
      </c>
      <c r="C9" s="14" t="s">
        <v>24</v>
      </c>
      <c r="D9" s="27" t="s">
        <v>530</v>
      </c>
      <c r="E9" s="8" t="s">
        <v>539</v>
      </c>
      <c r="F9" s="18" t="s">
        <v>534</v>
      </c>
    </row>
    <row r="10" spans="1:8" x14ac:dyDescent="0.35">
      <c r="A10" s="7" t="s">
        <v>293</v>
      </c>
      <c r="B10" s="24" t="s">
        <v>7</v>
      </c>
      <c r="C10" s="34" t="s">
        <v>28</v>
      </c>
      <c r="D10" s="32" t="s">
        <v>28</v>
      </c>
      <c r="E10" s="32" t="s">
        <v>538</v>
      </c>
      <c r="F10" s="24" t="s">
        <v>521</v>
      </c>
    </row>
    <row r="11" spans="1:8" x14ac:dyDescent="0.35">
      <c r="A11" s="7" t="s">
        <v>294</v>
      </c>
      <c r="B11" t="s">
        <v>423</v>
      </c>
      <c r="C11" s="14" t="s">
        <v>28</v>
      </c>
      <c r="D11" s="27" t="s">
        <v>530</v>
      </c>
      <c r="E11" s="8" t="s">
        <v>537</v>
      </c>
      <c r="F11" s="18" t="s">
        <v>521</v>
      </c>
    </row>
    <row r="12" spans="1:8" x14ac:dyDescent="0.35">
      <c r="A12" s="7" t="s">
        <v>295</v>
      </c>
      <c r="B12" t="s">
        <v>424</v>
      </c>
      <c r="C12" s="14" t="s">
        <v>28</v>
      </c>
      <c r="D12" s="27" t="s">
        <v>530</v>
      </c>
      <c r="E12" s="8" t="s">
        <v>537</v>
      </c>
      <c r="F12" s="18" t="s">
        <v>521</v>
      </c>
    </row>
    <row r="13" spans="1:8" x14ac:dyDescent="0.35">
      <c r="A13" s="7" t="s">
        <v>296</v>
      </c>
      <c r="B13" t="s">
        <v>425</v>
      </c>
      <c r="C13" s="17" t="s">
        <v>25</v>
      </c>
      <c r="D13" s="32" t="s">
        <v>530</v>
      </c>
      <c r="E13" s="8" t="s">
        <v>537</v>
      </c>
    </row>
    <row r="14" spans="1:8" x14ac:dyDescent="0.35">
      <c r="A14" s="7" t="s">
        <v>297</v>
      </c>
      <c r="B14" t="s">
        <v>426</v>
      </c>
      <c r="C14" s="14" t="s">
        <v>28</v>
      </c>
      <c r="D14" s="27" t="s">
        <v>530</v>
      </c>
      <c r="E14" s="8" t="s">
        <v>537</v>
      </c>
      <c r="F14" s="18" t="s">
        <v>521</v>
      </c>
    </row>
    <row r="15" spans="1:8" x14ac:dyDescent="0.35">
      <c r="A15" s="7" t="s">
        <v>298</v>
      </c>
      <c r="B15" t="s">
        <v>427</v>
      </c>
      <c r="C15" s="14" t="s">
        <v>28</v>
      </c>
      <c r="D15" s="27" t="s">
        <v>530</v>
      </c>
      <c r="E15" s="8" t="s">
        <v>537</v>
      </c>
      <c r="F15" s="18" t="s">
        <v>521</v>
      </c>
    </row>
    <row r="16" spans="1:8" x14ac:dyDescent="0.35">
      <c r="A16" s="7" t="s">
        <v>301</v>
      </c>
      <c r="B16" t="s">
        <v>267</v>
      </c>
      <c r="C16" s="14" t="s">
        <v>28</v>
      </c>
      <c r="D16" s="27" t="s">
        <v>530</v>
      </c>
      <c r="E16" s="8" t="s">
        <v>537</v>
      </c>
      <c r="F16" s="18" t="s">
        <v>521</v>
      </c>
    </row>
    <row r="17" spans="1:6" x14ac:dyDescent="0.35">
      <c r="A17" s="7" t="s">
        <v>299</v>
      </c>
      <c r="B17" t="s">
        <v>428</v>
      </c>
      <c r="C17" s="14" t="s">
        <v>28</v>
      </c>
      <c r="D17" s="27" t="s">
        <v>530</v>
      </c>
      <c r="E17" s="8" t="s">
        <v>537</v>
      </c>
      <c r="F17" s="18" t="s">
        <v>521</v>
      </c>
    </row>
    <row r="18" spans="1:6" x14ac:dyDescent="0.35">
      <c r="A18" s="7" t="s">
        <v>300</v>
      </c>
      <c r="B18" t="s">
        <v>423</v>
      </c>
      <c r="C18" s="14" t="s">
        <v>28</v>
      </c>
      <c r="D18" s="27" t="s">
        <v>530</v>
      </c>
      <c r="E18" s="8" t="s">
        <v>537</v>
      </c>
      <c r="F18" s="18" t="s">
        <v>521</v>
      </c>
    </row>
    <row r="19" spans="1:6" x14ac:dyDescent="0.35">
      <c r="A19" s="7" t="s">
        <v>302</v>
      </c>
      <c r="B19" t="s">
        <v>429</v>
      </c>
      <c r="C19" s="14" t="s">
        <v>28</v>
      </c>
      <c r="D19" s="27" t="s">
        <v>530</v>
      </c>
      <c r="E19" s="8" t="s">
        <v>537</v>
      </c>
      <c r="F19" s="18" t="s">
        <v>521</v>
      </c>
    </row>
    <row r="20" spans="1:6" x14ac:dyDescent="0.35">
      <c r="A20" s="7" t="s">
        <v>303</v>
      </c>
      <c r="B20" t="s">
        <v>430</v>
      </c>
      <c r="C20" s="14" t="s">
        <v>28</v>
      </c>
      <c r="D20" s="27" t="s">
        <v>530</v>
      </c>
      <c r="E20" s="8" t="s">
        <v>537</v>
      </c>
      <c r="F20" s="18" t="s">
        <v>521</v>
      </c>
    </row>
    <row r="21" spans="1:6" x14ac:dyDescent="0.35">
      <c r="A21" s="7" t="s">
        <v>304</v>
      </c>
      <c r="B21" t="s">
        <v>431</v>
      </c>
      <c r="C21" s="14" t="s">
        <v>28</v>
      </c>
      <c r="D21" s="27" t="s">
        <v>530</v>
      </c>
      <c r="E21" s="8" t="s">
        <v>537</v>
      </c>
      <c r="F21" s="18" t="s">
        <v>521</v>
      </c>
    </row>
    <row r="22" spans="1:6" x14ac:dyDescent="0.35">
      <c r="A22" s="38" t="s">
        <v>305</v>
      </c>
      <c r="B22" t="s">
        <v>84</v>
      </c>
      <c r="C22" s="17" t="s">
        <v>25</v>
      </c>
      <c r="D22" s="42" t="s">
        <v>28</v>
      </c>
    </row>
    <row r="23" spans="1:6" x14ac:dyDescent="0.35">
      <c r="A23" s="7" t="s">
        <v>306</v>
      </c>
      <c r="B23" t="s">
        <v>5</v>
      </c>
      <c r="C23" s="14" t="s">
        <v>24</v>
      </c>
      <c r="D23" s="27" t="s">
        <v>530</v>
      </c>
      <c r="E23" s="8"/>
      <c r="F23" s="18" t="s">
        <v>534</v>
      </c>
    </row>
    <row r="24" spans="1:6" x14ac:dyDescent="0.35">
      <c r="A24" s="7" t="s">
        <v>307</v>
      </c>
      <c r="B24" t="s">
        <v>87</v>
      </c>
      <c r="C24" s="14" t="s">
        <v>28</v>
      </c>
      <c r="D24" s="27">
        <v>0</v>
      </c>
      <c r="E24" s="8"/>
      <c r="F24" s="18" t="s">
        <v>532</v>
      </c>
    </row>
    <row r="25" spans="1:6" x14ac:dyDescent="0.35">
      <c r="A25" s="38" t="s">
        <v>308</v>
      </c>
      <c r="B25" t="s">
        <v>252</v>
      </c>
      <c r="C25" s="17" t="s">
        <v>25</v>
      </c>
      <c r="D25" s="28" t="s">
        <v>25</v>
      </c>
    </row>
    <row r="26" spans="1:6" x14ac:dyDescent="0.35">
      <c r="A26" s="38" t="s">
        <v>309</v>
      </c>
      <c r="B26" t="s">
        <v>251</v>
      </c>
      <c r="C26" s="17" t="s">
        <v>25</v>
      </c>
      <c r="D26" s="28" t="s">
        <v>25</v>
      </c>
    </row>
    <row r="27" spans="1:6" x14ac:dyDescent="0.35">
      <c r="A27" s="7" t="s">
        <v>310</v>
      </c>
      <c r="B27" t="s">
        <v>252</v>
      </c>
      <c r="C27" s="17" t="s">
        <v>28</v>
      </c>
      <c r="D27" s="28" t="s">
        <v>28</v>
      </c>
      <c r="E27" s="8" t="s">
        <v>537</v>
      </c>
      <c r="F27" s="2" t="s">
        <v>524</v>
      </c>
    </row>
    <row r="28" spans="1:6" x14ac:dyDescent="0.35">
      <c r="A28" s="7" t="s">
        <v>311</v>
      </c>
      <c r="B28" t="s">
        <v>251</v>
      </c>
      <c r="C28" s="17" t="s">
        <v>28</v>
      </c>
      <c r="D28" s="28" t="s">
        <v>28</v>
      </c>
      <c r="E28" s="8" t="s">
        <v>537</v>
      </c>
      <c r="F28" s="2" t="s">
        <v>524</v>
      </c>
    </row>
    <row r="29" spans="1:6" x14ac:dyDescent="0.35">
      <c r="A29" s="7" t="s">
        <v>312</v>
      </c>
      <c r="B29" t="s">
        <v>5</v>
      </c>
      <c r="C29" s="14" t="s">
        <v>24</v>
      </c>
      <c r="D29" s="27" t="s">
        <v>530</v>
      </c>
      <c r="E29" s="8" t="s">
        <v>537</v>
      </c>
      <c r="F29" s="18" t="s">
        <v>534</v>
      </c>
    </row>
    <row r="30" spans="1:6" x14ac:dyDescent="0.35">
      <c r="A30" s="7" t="s">
        <v>313</v>
      </c>
      <c r="B30" t="s">
        <v>432</v>
      </c>
      <c r="C30" s="14" t="s">
        <v>28</v>
      </c>
      <c r="D30" s="27" t="s">
        <v>530</v>
      </c>
      <c r="E30" s="8" t="s">
        <v>537</v>
      </c>
      <c r="F30" s="18" t="s">
        <v>521</v>
      </c>
    </row>
    <row r="31" spans="1:6" x14ac:dyDescent="0.35">
      <c r="A31" s="7" t="s">
        <v>314</v>
      </c>
      <c r="B31" t="s">
        <v>265</v>
      </c>
      <c r="C31" s="14" t="s">
        <v>28</v>
      </c>
      <c r="D31" s="27" t="s">
        <v>530</v>
      </c>
      <c r="E31" s="8"/>
      <c r="F31" s="18" t="s">
        <v>521</v>
      </c>
    </row>
    <row r="32" spans="1:6" x14ac:dyDescent="0.35">
      <c r="A32" s="7" t="s">
        <v>315</v>
      </c>
      <c r="B32" t="s">
        <v>433</v>
      </c>
      <c r="C32" s="14" t="s">
        <v>28</v>
      </c>
      <c r="D32" s="27" t="s">
        <v>530</v>
      </c>
      <c r="E32" s="8" t="s">
        <v>537</v>
      </c>
      <c r="F32" s="18" t="s">
        <v>521</v>
      </c>
    </row>
    <row r="33" spans="1:6" x14ac:dyDescent="0.35">
      <c r="A33" s="7" t="s">
        <v>316</v>
      </c>
      <c r="B33" t="s">
        <v>434</v>
      </c>
      <c r="C33" s="14" t="s">
        <v>28</v>
      </c>
      <c r="D33" s="27" t="s">
        <v>530</v>
      </c>
      <c r="E33" s="8" t="s">
        <v>537</v>
      </c>
      <c r="F33" s="18" t="s">
        <v>521</v>
      </c>
    </row>
    <row r="34" spans="1:6" x14ac:dyDescent="0.35">
      <c r="A34" s="38" t="s">
        <v>317</v>
      </c>
      <c r="B34" t="s">
        <v>17</v>
      </c>
      <c r="C34" s="17" t="s">
        <v>25</v>
      </c>
      <c r="D34" s="28" t="s">
        <v>25</v>
      </c>
    </row>
    <row r="35" spans="1:6" x14ac:dyDescent="0.35">
      <c r="A35" s="7" t="s">
        <v>318</v>
      </c>
      <c r="B35" t="s">
        <v>33</v>
      </c>
      <c r="C35" s="14" t="s">
        <v>28</v>
      </c>
      <c r="D35" s="27" t="s">
        <v>530</v>
      </c>
      <c r="E35" s="8"/>
      <c r="F35" s="18" t="s">
        <v>521</v>
      </c>
    </row>
    <row r="36" spans="1:6" x14ac:dyDescent="0.35">
      <c r="A36" s="7" t="s">
        <v>319</v>
      </c>
      <c r="B36" t="s">
        <v>36</v>
      </c>
      <c r="C36" s="14" t="s">
        <v>28</v>
      </c>
      <c r="D36" s="27" t="s">
        <v>530</v>
      </c>
      <c r="E36" s="8" t="s">
        <v>537</v>
      </c>
      <c r="F36" s="18" t="s">
        <v>521</v>
      </c>
    </row>
    <row r="37" spans="1:6" x14ac:dyDescent="0.35">
      <c r="A37" s="7" t="s">
        <v>320</v>
      </c>
      <c r="B37" t="s">
        <v>435</v>
      </c>
      <c r="C37" s="14" t="s">
        <v>28</v>
      </c>
      <c r="D37" s="27" t="s">
        <v>530</v>
      </c>
      <c r="E37" s="8" t="s">
        <v>537</v>
      </c>
      <c r="F37" s="18" t="s">
        <v>521</v>
      </c>
    </row>
    <row r="38" spans="1:6" x14ac:dyDescent="0.35">
      <c r="A38" s="7" t="s">
        <v>321</v>
      </c>
      <c r="B38" t="s">
        <v>436</v>
      </c>
      <c r="C38" s="14" t="s">
        <v>28</v>
      </c>
      <c r="D38" s="27" t="s">
        <v>530</v>
      </c>
      <c r="E38" s="8" t="s">
        <v>537</v>
      </c>
      <c r="F38" s="18" t="s">
        <v>521</v>
      </c>
    </row>
    <row r="39" spans="1:6" x14ac:dyDescent="0.35">
      <c r="A39" s="7" t="s">
        <v>322</v>
      </c>
      <c r="B39" t="s">
        <v>6</v>
      </c>
      <c r="C39" s="17" t="s">
        <v>25</v>
      </c>
      <c r="D39" s="32" t="s">
        <v>530</v>
      </c>
      <c r="E39" s="8" t="s">
        <v>537</v>
      </c>
    </row>
    <row r="40" spans="1:6" x14ac:dyDescent="0.35">
      <c r="A40" s="7" t="s">
        <v>323</v>
      </c>
      <c r="B40" t="s">
        <v>437</v>
      </c>
      <c r="C40" s="14" t="s">
        <v>28</v>
      </c>
      <c r="D40" s="27" t="s">
        <v>530</v>
      </c>
      <c r="E40" s="8" t="s">
        <v>537</v>
      </c>
      <c r="F40" s="18" t="s">
        <v>521</v>
      </c>
    </row>
    <row r="41" spans="1:6" x14ac:dyDescent="0.35">
      <c r="A41" s="7" t="s">
        <v>324</v>
      </c>
      <c r="B41" t="s">
        <v>88</v>
      </c>
      <c r="C41" s="14" t="s">
        <v>24</v>
      </c>
      <c r="D41" s="27" t="s">
        <v>530</v>
      </c>
      <c r="E41" s="8"/>
      <c r="F41" s="18" t="s">
        <v>534</v>
      </c>
    </row>
    <row r="42" spans="1:6" x14ac:dyDescent="0.35">
      <c r="A42" s="7" t="s">
        <v>325</v>
      </c>
      <c r="B42" t="s">
        <v>438</v>
      </c>
      <c r="C42" s="14" t="s">
        <v>28</v>
      </c>
      <c r="D42" s="27" t="s">
        <v>530</v>
      </c>
      <c r="E42" s="8" t="s">
        <v>537</v>
      </c>
      <c r="F42" s="18" t="s">
        <v>521</v>
      </c>
    </row>
    <row r="43" spans="1:6" x14ac:dyDescent="0.35">
      <c r="A43" s="7" t="s">
        <v>326</v>
      </c>
      <c r="B43" t="s">
        <v>252</v>
      </c>
      <c r="C43" s="17" t="s">
        <v>28</v>
      </c>
      <c r="D43" s="28" t="s">
        <v>28</v>
      </c>
      <c r="E43" s="8" t="s">
        <v>537</v>
      </c>
      <c r="F43" s="2" t="s">
        <v>524</v>
      </c>
    </row>
    <row r="44" spans="1:6" x14ac:dyDescent="0.35">
      <c r="A44" s="7" t="s">
        <v>327</v>
      </c>
      <c r="B44" t="s">
        <v>4</v>
      </c>
      <c r="C44" s="14" t="s">
        <v>28</v>
      </c>
      <c r="D44" s="27" t="s">
        <v>530</v>
      </c>
      <c r="E44" s="8"/>
      <c r="F44" s="18" t="s">
        <v>521</v>
      </c>
    </row>
    <row r="45" spans="1:6" x14ac:dyDescent="0.35">
      <c r="A45" s="7" t="s">
        <v>328</v>
      </c>
      <c r="B45" t="s">
        <v>14</v>
      </c>
      <c r="C45" s="14" t="s">
        <v>28</v>
      </c>
      <c r="D45" s="27" t="s">
        <v>530</v>
      </c>
      <c r="E45" s="8" t="s">
        <v>537</v>
      </c>
      <c r="F45" s="18" t="s">
        <v>521</v>
      </c>
    </row>
    <row r="46" spans="1:6" x14ac:dyDescent="0.35">
      <c r="A46" s="7" t="s">
        <v>329</v>
      </c>
      <c r="B46" t="s">
        <v>439</v>
      </c>
      <c r="C46" s="14" t="s">
        <v>28</v>
      </c>
      <c r="D46" s="27" t="s">
        <v>530</v>
      </c>
      <c r="E46" s="8" t="s">
        <v>537</v>
      </c>
      <c r="F46" s="18" t="s">
        <v>521</v>
      </c>
    </row>
    <row r="47" spans="1:6" x14ac:dyDescent="0.35">
      <c r="A47" s="7" t="s">
        <v>330</v>
      </c>
      <c r="B47" t="s">
        <v>277</v>
      </c>
      <c r="C47" s="17" t="s">
        <v>25</v>
      </c>
      <c r="D47" s="32" t="s">
        <v>530</v>
      </c>
      <c r="E47" s="8" t="s">
        <v>537</v>
      </c>
    </row>
    <row r="48" spans="1:6" x14ac:dyDescent="0.35">
      <c r="A48" s="7" t="s">
        <v>331</v>
      </c>
      <c r="B48" t="s">
        <v>440</v>
      </c>
      <c r="C48" s="14" t="s">
        <v>28</v>
      </c>
      <c r="D48" s="27" t="s">
        <v>530</v>
      </c>
      <c r="E48" s="8" t="s">
        <v>537</v>
      </c>
      <c r="F48" s="18" t="s">
        <v>521</v>
      </c>
    </row>
    <row r="49" spans="1:6" x14ac:dyDescent="0.35">
      <c r="A49" s="7" t="s">
        <v>332</v>
      </c>
      <c r="B49" t="s">
        <v>251</v>
      </c>
      <c r="C49" s="17" t="s">
        <v>28</v>
      </c>
      <c r="D49" s="28" t="s">
        <v>28</v>
      </c>
      <c r="E49" s="8" t="s">
        <v>537</v>
      </c>
      <c r="F49" s="2" t="s">
        <v>524</v>
      </c>
    </row>
    <row r="50" spans="1:6" x14ac:dyDescent="0.35">
      <c r="A50" s="7" t="s">
        <v>333</v>
      </c>
      <c r="B50" t="s">
        <v>3</v>
      </c>
      <c r="C50" s="14" t="s">
        <v>28</v>
      </c>
      <c r="D50" s="27" t="s">
        <v>530</v>
      </c>
      <c r="E50" s="8"/>
      <c r="F50" s="18" t="s">
        <v>521</v>
      </c>
    </row>
    <row r="51" spans="1:6" x14ac:dyDescent="0.35">
      <c r="A51" s="7" t="s">
        <v>334</v>
      </c>
      <c r="B51" t="s">
        <v>441</v>
      </c>
      <c r="C51" s="14" t="s">
        <v>28</v>
      </c>
      <c r="D51" s="27" t="s">
        <v>530</v>
      </c>
      <c r="E51" s="8" t="s">
        <v>537</v>
      </c>
      <c r="F51" s="18" t="s">
        <v>521</v>
      </c>
    </row>
    <row r="52" spans="1:6" x14ac:dyDescent="0.35">
      <c r="A52" s="7" t="s">
        <v>335</v>
      </c>
      <c r="B52" t="s">
        <v>35</v>
      </c>
      <c r="C52" s="17" t="s">
        <v>25</v>
      </c>
      <c r="D52" s="32" t="s">
        <v>530</v>
      </c>
      <c r="E52" s="8" t="s">
        <v>537</v>
      </c>
    </row>
    <row r="53" spans="1:6" x14ac:dyDescent="0.35">
      <c r="A53" s="7" t="s">
        <v>336</v>
      </c>
      <c r="B53" t="s">
        <v>442</v>
      </c>
      <c r="C53" s="14" t="s">
        <v>28</v>
      </c>
      <c r="D53" s="27" t="s">
        <v>530</v>
      </c>
      <c r="E53" s="8" t="s">
        <v>537</v>
      </c>
      <c r="F53" s="18" t="s">
        <v>521</v>
      </c>
    </row>
    <row r="54" spans="1:6" x14ac:dyDescent="0.35">
      <c r="A54" s="7" t="s">
        <v>337</v>
      </c>
      <c r="B54" t="s">
        <v>93</v>
      </c>
      <c r="C54" s="14" t="s">
        <v>28</v>
      </c>
      <c r="D54" s="27" t="s">
        <v>530</v>
      </c>
      <c r="E54" s="8"/>
      <c r="F54" s="18" t="s">
        <v>521</v>
      </c>
    </row>
    <row r="55" spans="1:6" x14ac:dyDescent="0.35">
      <c r="A55" s="7" t="s">
        <v>338</v>
      </c>
      <c r="B55" t="s">
        <v>443</v>
      </c>
      <c r="C55" s="14" t="s">
        <v>28</v>
      </c>
      <c r="D55" s="27" t="s">
        <v>530</v>
      </c>
      <c r="E55" s="8"/>
      <c r="F55" s="18" t="s">
        <v>521</v>
      </c>
    </row>
    <row r="56" spans="1:6" x14ac:dyDescent="0.35">
      <c r="A56" s="7" t="s">
        <v>339</v>
      </c>
      <c r="B56" t="s">
        <v>256</v>
      </c>
      <c r="C56" s="17" t="s">
        <v>28</v>
      </c>
      <c r="D56" s="28" t="s">
        <v>28</v>
      </c>
      <c r="E56" s="8" t="s">
        <v>537</v>
      </c>
      <c r="F56" s="2" t="s">
        <v>524</v>
      </c>
    </row>
    <row r="57" spans="1:6" x14ac:dyDescent="0.35">
      <c r="A57" s="7" t="s">
        <v>340</v>
      </c>
      <c r="B57" t="s">
        <v>256</v>
      </c>
      <c r="C57" s="17" t="s">
        <v>28</v>
      </c>
      <c r="D57" s="28" t="s">
        <v>28</v>
      </c>
      <c r="E57" s="8" t="s">
        <v>537</v>
      </c>
      <c r="F57" s="2" t="s">
        <v>524</v>
      </c>
    </row>
    <row r="58" spans="1:6" x14ac:dyDescent="0.35">
      <c r="A58" s="7" t="s">
        <v>341</v>
      </c>
      <c r="B58" t="s">
        <v>444</v>
      </c>
      <c r="C58" s="14" t="s">
        <v>28</v>
      </c>
      <c r="D58" s="27" t="s">
        <v>530</v>
      </c>
      <c r="E58" s="8" t="s">
        <v>537</v>
      </c>
      <c r="F58" s="18" t="s">
        <v>521</v>
      </c>
    </row>
    <row r="59" spans="1:6" x14ac:dyDescent="0.35">
      <c r="A59" s="7" t="s">
        <v>342</v>
      </c>
      <c r="B59" t="s">
        <v>445</v>
      </c>
      <c r="C59" s="14" t="s">
        <v>28</v>
      </c>
      <c r="D59" s="27" t="s">
        <v>530</v>
      </c>
      <c r="E59" s="8" t="s">
        <v>537</v>
      </c>
      <c r="F59" s="18" t="s">
        <v>521</v>
      </c>
    </row>
    <row r="60" spans="1:6" x14ac:dyDescent="0.35">
      <c r="A60" s="7" t="s">
        <v>343</v>
      </c>
      <c r="B60" t="s">
        <v>277</v>
      </c>
      <c r="C60" s="17" t="s">
        <v>25</v>
      </c>
      <c r="D60" s="32" t="s">
        <v>530</v>
      </c>
      <c r="E60" s="8" t="s">
        <v>537</v>
      </c>
    </row>
    <row r="61" spans="1:6" x14ac:dyDescent="0.35">
      <c r="A61" s="7" t="s">
        <v>344</v>
      </c>
      <c r="B61" t="s">
        <v>446</v>
      </c>
      <c r="C61" s="14" t="s">
        <v>28</v>
      </c>
      <c r="D61" s="27" t="s">
        <v>530</v>
      </c>
      <c r="E61" s="8" t="s">
        <v>537</v>
      </c>
      <c r="F61" s="18" t="s">
        <v>521</v>
      </c>
    </row>
    <row r="62" spans="1:6" x14ac:dyDescent="0.35">
      <c r="A62" s="7" t="s">
        <v>345</v>
      </c>
      <c r="B62" t="s">
        <v>252</v>
      </c>
      <c r="C62" s="17" t="s">
        <v>28</v>
      </c>
      <c r="D62" s="28" t="s">
        <v>530</v>
      </c>
      <c r="F62" s="2" t="s">
        <v>524</v>
      </c>
    </row>
    <row r="63" spans="1:6" x14ac:dyDescent="0.35">
      <c r="A63" s="7" t="s">
        <v>346</v>
      </c>
      <c r="B63" t="s">
        <v>4</v>
      </c>
      <c r="C63" s="14" t="s">
        <v>28</v>
      </c>
      <c r="D63" s="27" t="s">
        <v>530</v>
      </c>
      <c r="E63" s="8"/>
      <c r="F63" s="18" t="s">
        <v>521</v>
      </c>
    </row>
    <row r="64" spans="1:6" x14ac:dyDescent="0.35">
      <c r="A64" s="7" t="s">
        <v>347</v>
      </c>
      <c r="B64" t="s">
        <v>447</v>
      </c>
      <c r="C64" s="14" t="s">
        <v>28</v>
      </c>
      <c r="D64" s="27" t="s">
        <v>530</v>
      </c>
      <c r="E64" s="8" t="s">
        <v>537</v>
      </c>
      <c r="F64" s="18" t="s">
        <v>521</v>
      </c>
    </row>
    <row r="65" spans="1:7" x14ac:dyDescent="0.35">
      <c r="A65" s="7" t="s">
        <v>348</v>
      </c>
      <c r="B65" t="s">
        <v>3</v>
      </c>
      <c r="C65" s="14" t="s">
        <v>28</v>
      </c>
      <c r="D65" s="27" t="s">
        <v>530</v>
      </c>
      <c r="E65" s="8"/>
      <c r="F65" s="18" t="s">
        <v>521</v>
      </c>
    </row>
    <row r="66" spans="1:7" x14ac:dyDescent="0.35">
      <c r="A66" s="7" t="s">
        <v>349</v>
      </c>
      <c r="B66" t="s">
        <v>251</v>
      </c>
      <c r="C66" s="17" t="s">
        <v>28</v>
      </c>
      <c r="D66" s="28" t="s">
        <v>530</v>
      </c>
      <c r="F66" s="2" t="s">
        <v>524</v>
      </c>
    </row>
    <row r="67" spans="1:7" x14ac:dyDescent="0.35">
      <c r="A67" s="7" t="s">
        <v>350</v>
      </c>
      <c r="B67" t="s">
        <v>448</v>
      </c>
      <c r="C67" s="14" t="s">
        <v>24</v>
      </c>
      <c r="D67" s="27" t="s">
        <v>530</v>
      </c>
      <c r="E67" s="8" t="s">
        <v>537</v>
      </c>
      <c r="F67" s="18" t="s">
        <v>534</v>
      </c>
    </row>
    <row r="68" spans="1:7" ht="15" customHeight="1" x14ac:dyDescent="0.35">
      <c r="A68" s="7" t="s">
        <v>351</v>
      </c>
      <c r="B68" t="s">
        <v>449</v>
      </c>
      <c r="C68" s="14" t="s">
        <v>28</v>
      </c>
      <c r="D68" s="27" t="s">
        <v>530</v>
      </c>
      <c r="E68" s="8" t="s">
        <v>537</v>
      </c>
      <c r="F68" s="18" t="s">
        <v>521</v>
      </c>
    </row>
    <row r="69" spans="1:7" x14ac:dyDescent="0.35">
      <c r="A69" s="7" t="s">
        <v>352</v>
      </c>
      <c r="B69" t="s">
        <v>11</v>
      </c>
      <c r="C69" s="14" t="s">
        <v>28</v>
      </c>
      <c r="D69" s="27" t="s">
        <v>530</v>
      </c>
      <c r="E69" s="8"/>
      <c r="F69" s="18" t="s">
        <v>521</v>
      </c>
    </row>
    <row r="70" spans="1:7" x14ac:dyDescent="0.35">
      <c r="A70" s="7" t="s">
        <v>353</v>
      </c>
      <c r="B70" t="s">
        <v>11</v>
      </c>
      <c r="C70" s="14" t="s">
        <v>28</v>
      </c>
      <c r="D70" s="27" t="s">
        <v>530</v>
      </c>
      <c r="E70" s="8"/>
      <c r="F70" s="18" t="s">
        <v>521</v>
      </c>
    </row>
    <row r="71" spans="1:7" x14ac:dyDescent="0.35">
      <c r="A71" s="7" t="s">
        <v>354</v>
      </c>
      <c r="B71" t="s">
        <v>11</v>
      </c>
      <c r="C71" s="14" t="s">
        <v>28</v>
      </c>
      <c r="D71" s="27" t="s">
        <v>530</v>
      </c>
      <c r="E71" s="8"/>
      <c r="F71" s="18" t="s">
        <v>521</v>
      </c>
    </row>
    <row r="72" spans="1:7" x14ac:dyDescent="0.35">
      <c r="A72" s="7" t="s">
        <v>355</v>
      </c>
      <c r="B72" t="s">
        <v>34</v>
      </c>
      <c r="C72" s="14" t="s">
        <v>28</v>
      </c>
      <c r="D72" s="27" t="s">
        <v>530</v>
      </c>
      <c r="E72" s="8"/>
      <c r="F72" s="18" t="s">
        <v>521</v>
      </c>
    </row>
    <row r="73" spans="1:7" x14ac:dyDescent="0.35">
      <c r="A73" s="7" t="s">
        <v>356</v>
      </c>
      <c r="B73" t="s">
        <v>450</v>
      </c>
      <c r="C73" s="14" t="s">
        <v>28</v>
      </c>
      <c r="D73" s="27" t="s">
        <v>530</v>
      </c>
      <c r="E73" s="8"/>
      <c r="F73" s="18" t="s">
        <v>521</v>
      </c>
    </row>
    <row r="74" spans="1:7" x14ac:dyDescent="0.35">
      <c r="A74" s="7" t="s">
        <v>357</v>
      </c>
      <c r="B74" s="13" t="s">
        <v>34</v>
      </c>
      <c r="C74" s="14" t="s">
        <v>28</v>
      </c>
      <c r="D74" s="27" t="s">
        <v>530</v>
      </c>
      <c r="E74" s="8"/>
      <c r="F74" s="18" t="s">
        <v>521</v>
      </c>
    </row>
    <row r="75" spans="1:7" x14ac:dyDescent="0.35">
      <c r="A75" s="7" t="s">
        <v>358</v>
      </c>
      <c r="B75" t="s">
        <v>451</v>
      </c>
      <c r="C75" s="14" t="s">
        <v>28</v>
      </c>
      <c r="D75" s="27" t="s">
        <v>530</v>
      </c>
      <c r="E75" s="8"/>
      <c r="F75" s="18" t="s">
        <v>521</v>
      </c>
    </row>
    <row r="76" spans="1:7" x14ac:dyDescent="0.35">
      <c r="A76" s="7" t="s">
        <v>359</v>
      </c>
      <c r="B76" t="s">
        <v>8</v>
      </c>
      <c r="C76" s="17" t="s">
        <v>25</v>
      </c>
      <c r="D76" s="42" t="s">
        <v>28</v>
      </c>
    </row>
    <row r="77" spans="1:7" x14ac:dyDescent="0.35">
      <c r="A77" s="7" t="s">
        <v>360</v>
      </c>
      <c r="B77" t="s">
        <v>452</v>
      </c>
      <c r="C77" s="14" t="s">
        <v>28</v>
      </c>
      <c r="D77" s="27" t="s">
        <v>530</v>
      </c>
      <c r="E77" s="8"/>
      <c r="F77" s="18" t="s">
        <v>521</v>
      </c>
    </row>
    <row r="78" spans="1:7" x14ac:dyDescent="0.35">
      <c r="A78" s="34" t="s">
        <v>361</v>
      </c>
      <c r="B78" s="24" t="s">
        <v>252</v>
      </c>
      <c r="C78" s="34" t="s">
        <v>28</v>
      </c>
      <c r="D78" s="32" t="s">
        <v>530</v>
      </c>
      <c r="E78" s="36" t="s">
        <v>540</v>
      </c>
      <c r="F78" s="35" t="s">
        <v>524</v>
      </c>
      <c r="G78" s="36" t="s">
        <v>541</v>
      </c>
    </row>
    <row r="79" spans="1:7" x14ac:dyDescent="0.35">
      <c r="A79" s="38" t="s">
        <v>362</v>
      </c>
      <c r="B79" t="s">
        <v>262</v>
      </c>
      <c r="C79" s="7" t="s">
        <v>25</v>
      </c>
      <c r="D79" s="26" t="s">
        <v>25</v>
      </c>
    </row>
    <row r="80" spans="1:7" x14ac:dyDescent="0.35">
      <c r="A80" s="7" t="s">
        <v>363</v>
      </c>
      <c r="B80" t="s">
        <v>453</v>
      </c>
      <c r="C80" s="17" t="s">
        <v>28</v>
      </c>
      <c r="D80" s="28" t="s">
        <v>530</v>
      </c>
    </row>
    <row r="81" spans="1:7" x14ac:dyDescent="0.35">
      <c r="A81" s="7" t="s">
        <v>364</v>
      </c>
      <c r="B81" t="s">
        <v>454</v>
      </c>
      <c r="C81" s="17" t="s">
        <v>25</v>
      </c>
      <c r="D81" s="28" t="s">
        <v>530</v>
      </c>
    </row>
    <row r="82" spans="1:7" x14ac:dyDescent="0.35">
      <c r="A82" s="7" t="s">
        <v>365</v>
      </c>
      <c r="B82" t="s">
        <v>266</v>
      </c>
      <c r="C82" s="17" t="s">
        <v>25</v>
      </c>
      <c r="D82" s="32" t="s">
        <v>530</v>
      </c>
      <c r="E82" s="8" t="s">
        <v>537</v>
      </c>
    </row>
    <row r="83" spans="1:7" x14ac:dyDescent="0.35">
      <c r="A83" s="7" t="s">
        <v>366</v>
      </c>
      <c r="B83" t="s">
        <v>266</v>
      </c>
      <c r="C83" s="17" t="s">
        <v>25</v>
      </c>
      <c r="D83" s="32" t="s">
        <v>530</v>
      </c>
      <c r="E83" s="8" t="s">
        <v>537</v>
      </c>
    </row>
    <row r="84" spans="1:7" x14ac:dyDescent="0.35">
      <c r="A84" s="7" t="s">
        <v>367</v>
      </c>
      <c r="B84" t="s">
        <v>455</v>
      </c>
      <c r="C84" s="14" t="s">
        <v>28</v>
      </c>
      <c r="D84" s="27" t="s">
        <v>530</v>
      </c>
      <c r="E84" s="8" t="s">
        <v>537</v>
      </c>
      <c r="F84" s="18" t="s">
        <v>521</v>
      </c>
    </row>
    <row r="85" spans="1:7" x14ac:dyDescent="0.35">
      <c r="A85" s="7" t="s">
        <v>368</v>
      </c>
      <c r="B85" t="s">
        <v>14</v>
      </c>
      <c r="C85" s="14" t="s">
        <v>28</v>
      </c>
      <c r="D85" s="27" t="s">
        <v>530</v>
      </c>
      <c r="E85" s="8" t="s">
        <v>537</v>
      </c>
      <c r="F85" s="18" t="s">
        <v>521</v>
      </c>
    </row>
    <row r="86" spans="1:7" x14ac:dyDescent="0.35">
      <c r="A86" s="7" t="s">
        <v>369</v>
      </c>
      <c r="B86" t="s">
        <v>456</v>
      </c>
      <c r="C86" s="14" t="s">
        <v>28</v>
      </c>
      <c r="D86" s="27" t="s">
        <v>530</v>
      </c>
      <c r="E86" s="8" t="s">
        <v>537</v>
      </c>
      <c r="F86" s="18" t="s">
        <v>521</v>
      </c>
    </row>
    <row r="87" spans="1:7" x14ac:dyDescent="0.35">
      <c r="A87" s="7" t="s">
        <v>370</v>
      </c>
      <c r="B87" t="s">
        <v>456</v>
      </c>
      <c r="C87" s="14" t="s">
        <v>28</v>
      </c>
      <c r="D87" s="27" t="s">
        <v>530</v>
      </c>
      <c r="E87" s="8" t="s">
        <v>537</v>
      </c>
      <c r="F87" s="18" t="s">
        <v>521</v>
      </c>
    </row>
    <row r="88" spans="1:7" x14ac:dyDescent="0.35">
      <c r="A88" s="34" t="s">
        <v>371</v>
      </c>
      <c r="B88" s="24" t="s">
        <v>251</v>
      </c>
      <c r="C88" s="34" t="s">
        <v>28</v>
      </c>
      <c r="D88" s="32" t="s">
        <v>530</v>
      </c>
      <c r="E88" s="36" t="s">
        <v>540</v>
      </c>
      <c r="F88" s="35" t="s">
        <v>524</v>
      </c>
      <c r="G88" s="36" t="s">
        <v>542</v>
      </c>
    </row>
    <row r="89" spans="1:7" x14ac:dyDescent="0.35">
      <c r="A89" s="7" t="s">
        <v>372</v>
      </c>
      <c r="B89" t="s">
        <v>457</v>
      </c>
      <c r="C89" s="14" t="s">
        <v>24</v>
      </c>
      <c r="D89" s="27" t="s">
        <v>530</v>
      </c>
      <c r="E89" s="8" t="s">
        <v>537</v>
      </c>
      <c r="F89" s="18" t="s">
        <v>534</v>
      </c>
    </row>
    <row r="90" spans="1:7" x14ac:dyDescent="0.35">
      <c r="A90" s="7" t="s">
        <v>373</v>
      </c>
      <c r="B90" t="s">
        <v>256</v>
      </c>
      <c r="C90" s="17" t="s">
        <v>28</v>
      </c>
      <c r="D90" s="28" t="s">
        <v>28</v>
      </c>
      <c r="E90" s="8" t="s">
        <v>537</v>
      </c>
      <c r="F90" s="23" t="s">
        <v>524</v>
      </c>
    </row>
    <row r="91" spans="1:7" x14ac:dyDescent="0.35">
      <c r="A91" s="7" t="s">
        <v>374</v>
      </c>
      <c r="B91" t="s">
        <v>256</v>
      </c>
      <c r="C91" s="17" t="s">
        <v>28</v>
      </c>
      <c r="D91" s="28" t="s">
        <v>28</v>
      </c>
      <c r="E91" s="8" t="s">
        <v>537</v>
      </c>
      <c r="F91" s="23" t="s">
        <v>524</v>
      </c>
    </row>
    <row r="92" spans="1:7" x14ac:dyDescent="0.35">
      <c r="A92" s="7" t="s">
        <v>375</v>
      </c>
      <c r="B92" t="s">
        <v>11</v>
      </c>
      <c r="C92" s="14" t="s">
        <v>28</v>
      </c>
      <c r="D92" s="27" t="s">
        <v>530</v>
      </c>
      <c r="E92" s="8"/>
      <c r="F92" s="18" t="s">
        <v>521</v>
      </c>
    </row>
    <row r="93" spans="1:7" x14ac:dyDescent="0.35">
      <c r="A93" s="7" t="s">
        <v>376</v>
      </c>
      <c r="B93" t="s">
        <v>458</v>
      </c>
      <c r="C93" s="17" t="s">
        <v>25</v>
      </c>
      <c r="D93" s="32" t="s">
        <v>530</v>
      </c>
      <c r="E93" s="8" t="s">
        <v>537</v>
      </c>
    </row>
    <row r="94" spans="1:7" x14ac:dyDescent="0.35">
      <c r="A94" s="7" t="s">
        <v>377</v>
      </c>
      <c r="B94" t="s">
        <v>459</v>
      </c>
      <c r="C94" s="14" t="s">
        <v>28</v>
      </c>
      <c r="D94" s="27" t="s">
        <v>530</v>
      </c>
      <c r="E94" s="8" t="s">
        <v>537</v>
      </c>
      <c r="F94" s="18" t="s">
        <v>521</v>
      </c>
    </row>
    <row r="95" spans="1:7" x14ac:dyDescent="0.35">
      <c r="A95" s="7" t="s">
        <v>378</v>
      </c>
      <c r="B95" t="s">
        <v>88</v>
      </c>
      <c r="C95" s="14" t="s">
        <v>24</v>
      </c>
      <c r="D95" s="27" t="s">
        <v>530</v>
      </c>
      <c r="E95" s="8"/>
      <c r="F95" s="18" t="s">
        <v>534</v>
      </c>
    </row>
    <row r="96" spans="1:7" x14ac:dyDescent="0.35">
      <c r="A96" s="7" t="s">
        <v>379</v>
      </c>
      <c r="B96" t="s">
        <v>459</v>
      </c>
      <c r="C96" s="14" t="s">
        <v>28</v>
      </c>
      <c r="D96" s="27" t="s">
        <v>530</v>
      </c>
      <c r="E96" s="8" t="s">
        <v>537</v>
      </c>
      <c r="F96" s="18" t="s">
        <v>521</v>
      </c>
    </row>
    <row r="97" spans="1:6" x14ac:dyDescent="0.35">
      <c r="A97" s="7" t="s">
        <v>380</v>
      </c>
      <c r="B97" t="s">
        <v>460</v>
      </c>
      <c r="C97" s="14" t="s">
        <v>28</v>
      </c>
      <c r="D97" s="27" t="s">
        <v>530</v>
      </c>
      <c r="E97" s="8" t="s">
        <v>537</v>
      </c>
      <c r="F97" s="18" t="s">
        <v>521</v>
      </c>
    </row>
    <row r="98" spans="1:6" x14ac:dyDescent="0.35">
      <c r="A98" s="7" t="s">
        <v>381</v>
      </c>
      <c r="B98" t="s">
        <v>461</v>
      </c>
      <c r="C98" s="14" t="s">
        <v>28</v>
      </c>
      <c r="D98" s="27" t="s">
        <v>530</v>
      </c>
      <c r="E98" s="8" t="s">
        <v>537</v>
      </c>
      <c r="F98" s="18" t="s">
        <v>521</v>
      </c>
    </row>
    <row r="99" spans="1:6" x14ac:dyDescent="0.35">
      <c r="A99" s="7" t="s">
        <v>382</v>
      </c>
      <c r="B99" t="s">
        <v>462</v>
      </c>
      <c r="C99" s="17" t="s">
        <v>25</v>
      </c>
      <c r="D99" s="32" t="s">
        <v>530</v>
      </c>
      <c r="E99" s="8" t="s">
        <v>537</v>
      </c>
    </row>
    <row r="100" spans="1:6" x14ac:dyDescent="0.35">
      <c r="A100" s="7" t="s">
        <v>383</v>
      </c>
      <c r="B100" t="s">
        <v>82</v>
      </c>
      <c r="C100" s="14" t="s">
        <v>28</v>
      </c>
      <c r="D100" s="27" t="s">
        <v>530</v>
      </c>
      <c r="E100" s="8"/>
      <c r="F100" s="18" t="s">
        <v>521</v>
      </c>
    </row>
    <row r="101" spans="1:6" x14ac:dyDescent="0.35">
      <c r="A101" s="7" t="s">
        <v>384</v>
      </c>
      <c r="B101" t="s">
        <v>88</v>
      </c>
      <c r="C101" s="14" t="s">
        <v>24</v>
      </c>
      <c r="D101" s="27" t="s">
        <v>530</v>
      </c>
      <c r="E101" s="8"/>
      <c r="F101" s="18" t="s">
        <v>534</v>
      </c>
    </row>
    <row r="102" spans="1:6" x14ac:dyDescent="0.35">
      <c r="A102" s="7" t="s">
        <v>385</v>
      </c>
      <c r="B102" t="s">
        <v>7</v>
      </c>
      <c r="C102" s="14" t="s">
        <v>28</v>
      </c>
      <c r="D102" s="27" t="s">
        <v>530</v>
      </c>
      <c r="E102" s="8" t="s">
        <v>537</v>
      </c>
      <c r="F102" s="18" t="s">
        <v>521</v>
      </c>
    </row>
    <row r="103" spans="1:6" x14ac:dyDescent="0.35">
      <c r="A103" s="7" t="s">
        <v>386</v>
      </c>
      <c r="B103" t="s">
        <v>87</v>
      </c>
      <c r="C103" s="14" t="s">
        <v>28</v>
      </c>
      <c r="D103" s="27">
        <v>0</v>
      </c>
      <c r="E103" s="8"/>
      <c r="F103" s="18" t="s">
        <v>532</v>
      </c>
    </row>
    <row r="104" spans="1:6" x14ac:dyDescent="0.35">
      <c r="A104" s="7" t="s">
        <v>387</v>
      </c>
      <c r="B104" t="s">
        <v>87</v>
      </c>
      <c r="C104" s="14" t="s">
        <v>28</v>
      </c>
      <c r="D104" s="27">
        <v>0</v>
      </c>
      <c r="E104" s="8"/>
      <c r="F104" s="18" t="s">
        <v>532</v>
      </c>
    </row>
    <row r="105" spans="1:6" x14ac:dyDescent="0.35">
      <c r="A105" s="38" t="s">
        <v>388</v>
      </c>
      <c r="B105" t="s">
        <v>252</v>
      </c>
      <c r="C105" s="17" t="s">
        <v>25</v>
      </c>
      <c r="D105" s="28" t="s">
        <v>25</v>
      </c>
    </row>
    <row r="106" spans="1:6" x14ac:dyDescent="0.35">
      <c r="A106" s="7" t="s">
        <v>389</v>
      </c>
      <c r="B106" t="s">
        <v>88</v>
      </c>
      <c r="C106" s="7" t="s">
        <v>27</v>
      </c>
      <c r="D106" s="26" t="s">
        <v>27</v>
      </c>
      <c r="E106" s="8" t="s">
        <v>543</v>
      </c>
    </row>
    <row r="107" spans="1:6" x14ac:dyDescent="0.35">
      <c r="A107" s="7" t="s">
        <v>390</v>
      </c>
      <c r="B107" t="s">
        <v>82</v>
      </c>
      <c r="C107" s="14" t="s">
        <v>28</v>
      </c>
      <c r="D107" s="42" t="s">
        <v>28</v>
      </c>
      <c r="E107" s="8"/>
      <c r="F107" s="18" t="s">
        <v>521</v>
      </c>
    </row>
    <row r="108" spans="1:6" x14ac:dyDescent="0.35">
      <c r="A108" s="7" t="s">
        <v>391</v>
      </c>
      <c r="B108" t="s">
        <v>7</v>
      </c>
      <c r="C108" s="17" t="s">
        <v>28</v>
      </c>
      <c r="D108" s="26" t="s">
        <v>28</v>
      </c>
    </row>
    <row r="109" spans="1:6" x14ac:dyDescent="0.35">
      <c r="A109" s="38" t="s">
        <v>392</v>
      </c>
      <c r="B109" t="s">
        <v>251</v>
      </c>
      <c r="C109" s="17" t="s">
        <v>25</v>
      </c>
      <c r="D109" s="28" t="s">
        <v>25</v>
      </c>
    </row>
    <row r="110" spans="1:6" x14ac:dyDescent="0.35">
      <c r="A110" s="7" t="s">
        <v>393</v>
      </c>
      <c r="B110" t="s">
        <v>463</v>
      </c>
      <c r="C110" s="7" t="s">
        <v>27</v>
      </c>
      <c r="D110" s="26" t="s">
        <v>27</v>
      </c>
      <c r="E110" s="8" t="s">
        <v>543</v>
      </c>
      <c r="F110" s="13" t="s">
        <v>524</v>
      </c>
    </row>
    <row r="111" spans="1:6" x14ac:dyDescent="0.35">
      <c r="A111" s="7" t="s">
        <v>394</v>
      </c>
      <c r="B111" t="s">
        <v>82</v>
      </c>
      <c r="C111" s="14" t="s">
        <v>28</v>
      </c>
      <c r="D111" s="42" t="s">
        <v>28</v>
      </c>
      <c r="E111" s="8"/>
      <c r="F111" s="18" t="s">
        <v>521</v>
      </c>
    </row>
    <row r="112" spans="1:6" x14ac:dyDescent="0.35">
      <c r="A112" s="7" t="s">
        <v>395</v>
      </c>
      <c r="B112" t="s">
        <v>88</v>
      </c>
      <c r="C112" s="7" t="s">
        <v>27</v>
      </c>
      <c r="D112" s="26" t="s">
        <v>27</v>
      </c>
      <c r="E112" s="8" t="s">
        <v>543</v>
      </c>
    </row>
    <row r="113" spans="1:6" x14ac:dyDescent="0.35">
      <c r="A113" s="7" t="s">
        <v>396</v>
      </c>
      <c r="B113" t="s">
        <v>6</v>
      </c>
      <c r="C113" s="17" t="s">
        <v>25</v>
      </c>
      <c r="D113" s="32" t="s">
        <v>530</v>
      </c>
      <c r="E113" s="8" t="s">
        <v>537</v>
      </c>
    </row>
    <row r="114" spans="1:6" x14ac:dyDescent="0.35">
      <c r="A114" s="7" t="s">
        <v>397</v>
      </c>
      <c r="B114" t="s">
        <v>263</v>
      </c>
      <c r="C114" s="7" t="s">
        <v>26</v>
      </c>
      <c r="D114" s="26" t="s">
        <v>26</v>
      </c>
      <c r="E114" s="8" t="s">
        <v>543</v>
      </c>
      <c r="F114" s="13" t="s">
        <v>524</v>
      </c>
    </row>
    <row r="115" spans="1:6" x14ac:dyDescent="0.35">
      <c r="A115" s="7" t="s">
        <v>398</v>
      </c>
      <c r="B115" t="s">
        <v>8</v>
      </c>
      <c r="C115" s="17" t="s">
        <v>25</v>
      </c>
      <c r="D115" s="32" t="s">
        <v>530</v>
      </c>
      <c r="E115" s="8" t="s">
        <v>537</v>
      </c>
    </row>
    <row r="116" spans="1:6" x14ac:dyDescent="0.35">
      <c r="A116" s="7" t="s">
        <v>399</v>
      </c>
      <c r="B116" t="s">
        <v>264</v>
      </c>
      <c r="C116" s="14" t="s">
        <v>28</v>
      </c>
      <c r="D116" s="27" t="s">
        <v>530</v>
      </c>
      <c r="E116" s="8" t="s">
        <v>537</v>
      </c>
      <c r="F116" s="18" t="s">
        <v>521</v>
      </c>
    </row>
    <row r="117" spans="1:6" x14ac:dyDescent="0.35">
      <c r="A117" s="7" t="s">
        <v>400</v>
      </c>
      <c r="B117" t="s">
        <v>263</v>
      </c>
      <c r="C117" s="7" t="s">
        <v>26</v>
      </c>
      <c r="D117" s="26" t="s">
        <v>26</v>
      </c>
      <c r="E117" s="8" t="s">
        <v>543</v>
      </c>
      <c r="F117" s="13" t="s">
        <v>524</v>
      </c>
    </row>
    <row r="118" spans="1:6" x14ac:dyDescent="0.35">
      <c r="A118" s="7" t="s">
        <v>401</v>
      </c>
      <c r="B118" t="s">
        <v>8</v>
      </c>
      <c r="C118" s="17" t="s">
        <v>25</v>
      </c>
      <c r="D118" s="32" t="s">
        <v>530</v>
      </c>
      <c r="E118" s="8" t="s">
        <v>537</v>
      </c>
    </row>
    <row r="119" spans="1:6" x14ac:dyDescent="0.35">
      <c r="A119" s="7" t="s">
        <v>402</v>
      </c>
      <c r="B119" t="s">
        <v>264</v>
      </c>
      <c r="C119" s="14" t="s">
        <v>28</v>
      </c>
      <c r="D119" s="27" t="s">
        <v>530</v>
      </c>
      <c r="E119" s="8" t="s">
        <v>537</v>
      </c>
      <c r="F119" s="18" t="s">
        <v>521</v>
      </c>
    </row>
    <row r="120" spans="1:6" x14ac:dyDescent="0.35">
      <c r="A120" s="7" t="s">
        <v>403</v>
      </c>
      <c r="B120" t="s">
        <v>263</v>
      </c>
      <c r="C120" s="7" t="s">
        <v>26</v>
      </c>
      <c r="D120" s="26" t="s">
        <v>26</v>
      </c>
      <c r="E120" s="8" t="s">
        <v>543</v>
      </c>
      <c r="F120" s="13" t="s">
        <v>524</v>
      </c>
    </row>
    <row r="121" spans="1:6" x14ac:dyDescent="0.35">
      <c r="A121" s="7" t="s">
        <v>404</v>
      </c>
      <c r="B121" t="s">
        <v>264</v>
      </c>
      <c r="C121" s="14" t="s">
        <v>28</v>
      </c>
      <c r="D121" s="27" t="s">
        <v>530</v>
      </c>
      <c r="E121" s="8" t="s">
        <v>537</v>
      </c>
      <c r="F121" s="18" t="s">
        <v>521</v>
      </c>
    </row>
    <row r="122" spans="1:6" x14ac:dyDescent="0.35">
      <c r="A122" s="7" t="s">
        <v>405</v>
      </c>
      <c r="B122" t="s">
        <v>263</v>
      </c>
      <c r="C122" s="7" t="s">
        <v>26</v>
      </c>
      <c r="D122" s="26" t="s">
        <v>26</v>
      </c>
      <c r="E122" s="8" t="s">
        <v>543</v>
      </c>
      <c r="F122" s="13" t="s">
        <v>524</v>
      </c>
    </row>
    <row r="123" spans="1:6" x14ac:dyDescent="0.35">
      <c r="A123" s="7" t="s">
        <v>406</v>
      </c>
      <c r="B123" t="s">
        <v>464</v>
      </c>
      <c r="C123" s="17" t="s">
        <v>28</v>
      </c>
      <c r="D123" s="26" t="s">
        <v>28</v>
      </c>
    </row>
    <row r="124" spans="1:6" x14ac:dyDescent="0.35">
      <c r="A124" s="7" t="s">
        <v>407</v>
      </c>
      <c r="B124" t="s">
        <v>8</v>
      </c>
      <c r="C124" s="17" t="s">
        <v>25</v>
      </c>
      <c r="D124" s="32" t="s">
        <v>530</v>
      </c>
      <c r="E124" s="8" t="s">
        <v>537</v>
      </c>
    </row>
    <row r="125" spans="1:6" x14ac:dyDescent="0.35">
      <c r="A125" s="7" t="s">
        <v>408</v>
      </c>
      <c r="B125" t="s">
        <v>12</v>
      </c>
      <c r="C125" s="17" t="s">
        <v>28</v>
      </c>
      <c r="D125" s="26" t="s">
        <v>28</v>
      </c>
    </row>
    <row r="126" spans="1:6" x14ac:dyDescent="0.35">
      <c r="A126" s="7" t="s">
        <v>409</v>
      </c>
      <c r="B126" t="s">
        <v>88</v>
      </c>
      <c r="C126" s="14" t="s">
        <v>24</v>
      </c>
      <c r="D126" s="27" t="s">
        <v>530</v>
      </c>
      <c r="E126" s="8"/>
      <c r="F126" s="18" t="s">
        <v>534</v>
      </c>
    </row>
    <row r="127" spans="1:6" x14ac:dyDescent="0.35">
      <c r="A127" s="7" t="s">
        <v>410</v>
      </c>
      <c r="B127" t="s">
        <v>264</v>
      </c>
      <c r="C127" s="14" t="s">
        <v>28</v>
      </c>
      <c r="D127" s="27" t="s">
        <v>530</v>
      </c>
      <c r="E127" s="8" t="s">
        <v>537</v>
      </c>
      <c r="F127" s="18" t="s">
        <v>521</v>
      </c>
    </row>
    <row r="128" spans="1:6" x14ac:dyDescent="0.35">
      <c r="A128" s="7" t="s">
        <v>411</v>
      </c>
      <c r="B128" t="s">
        <v>464</v>
      </c>
      <c r="C128" s="17" t="s">
        <v>28</v>
      </c>
      <c r="D128" s="26" t="s">
        <v>28</v>
      </c>
    </row>
    <row r="129" spans="1:7" x14ac:dyDescent="0.35">
      <c r="A129" s="7" t="s">
        <v>412</v>
      </c>
      <c r="B129" t="s">
        <v>7</v>
      </c>
      <c r="C129" s="17" t="s">
        <v>28</v>
      </c>
      <c r="D129" s="26" t="s">
        <v>28</v>
      </c>
    </row>
    <row r="130" spans="1:7" x14ac:dyDescent="0.35">
      <c r="A130" s="7" t="s">
        <v>413</v>
      </c>
      <c r="B130" t="s">
        <v>12</v>
      </c>
      <c r="C130" s="17" t="s">
        <v>28</v>
      </c>
      <c r="D130" s="26" t="s">
        <v>28</v>
      </c>
    </row>
    <row r="131" spans="1:7" x14ac:dyDescent="0.35">
      <c r="A131" s="7" t="s">
        <v>414</v>
      </c>
      <c r="B131" t="s">
        <v>88</v>
      </c>
      <c r="C131" s="14" t="s">
        <v>24</v>
      </c>
      <c r="D131" s="27" t="s">
        <v>530</v>
      </c>
      <c r="E131" s="8"/>
      <c r="F131" s="18" t="s">
        <v>534</v>
      </c>
    </row>
    <row r="132" spans="1:7" x14ac:dyDescent="0.35">
      <c r="A132" s="7" t="s">
        <v>415</v>
      </c>
      <c r="B132" t="s">
        <v>7</v>
      </c>
      <c r="C132" s="17" t="s">
        <v>28</v>
      </c>
      <c r="D132" s="26" t="s">
        <v>28</v>
      </c>
    </row>
    <row r="133" spans="1:7" x14ac:dyDescent="0.35">
      <c r="A133" s="7" t="s">
        <v>416</v>
      </c>
      <c r="B133" t="s">
        <v>464</v>
      </c>
      <c r="C133" s="17" t="s">
        <v>28</v>
      </c>
      <c r="D133" s="26" t="s">
        <v>28</v>
      </c>
    </row>
    <row r="134" spans="1:7" x14ac:dyDescent="0.35">
      <c r="A134" s="7" t="s">
        <v>417</v>
      </c>
      <c r="B134" t="s">
        <v>88</v>
      </c>
      <c r="C134" s="14" t="s">
        <v>24</v>
      </c>
      <c r="D134" s="27" t="s">
        <v>530</v>
      </c>
      <c r="E134" s="8"/>
      <c r="F134" s="18" t="s">
        <v>534</v>
      </c>
    </row>
    <row r="135" spans="1:7" x14ac:dyDescent="0.35">
      <c r="A135" s="7" t="s">
        <v>418</v>
      </c>
      <c r="B135" t="s">
        <v>12</v>
      </c>
      <c r="C135" s="17" t="s">
        <v>28</v>
      </c>
      <c r="D135" s="26" t="s">
        <v>28</v>
      </c>
    </row>
    <row r="136" spans="1:7" x14ac:dyDescent="0.35">
      <c r="A136" s="7" t="s">
        <v>419</v>
      </c>
      <c r="B136" t="s">
        <v>465</v>
      </c>
      <c r="C136" s="17" t="s">
        <v>28</v>
      </c>
      <c r="D136" s="26" t="s">
        <v>28</v>
      </c>
    </row>
    <row r="137" spans="1:7" x14ac:dyDescent="0.35">
      <c r="A137" s="7" t="s">
        <v>420</v>
      </c>
      <c r="B137" t="s">
        <v>8</v>
      </c>
      <c r="C137" s="17" t="s">
        <v>25</v>
      </c>
      <c r="D137" s="32" t="s">
        <v>530</v>
      </c>
      <c r="E137" s="8" t="s">
        <v>537</v>
      </c>
    </row>
    <row r="138" spans="1:7" x14ac:dyDescent="0.35">
      <c r="A138" s="7" t="s">
        <v>421</v>
      </c>
      <c r="B138" t="s">
        <v>8</v>
      </c>
      <c r="C138" s="17" t="s">
        <v>25</v>
      </c>
      <c r="D138" s="32" t="s">
        <v>530</v>
      </c>
      <c r="E138" s="8" t="s">
        <v>537</v>
      </c>
    </row>
    <row r="139" spans="1:7" x14ac:dyDescent="0.35">
      <c r="E139" s="3">
        <f>SUM(E2:E138)</f>
        <v>0</v>
      </c>
      <c r="F139" s="3">
        <f>SUM(F2:F138)</f>
        <v>0</v>
      </c>
      <c r="G139" s="3" t="s">
        <v>43</v>
      </c>
    </row>
  </sheetData>
  <autoFilter ref="A2:F139" xr:uid="{00000000-0009-0000-0000-000002000000}"/>
  <mergeCells count="1">
    <mergeCell ref="A1:B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zoomScale="85" zoomScaleNormal="85" workbookViewId="0">
      <pane ySplit="2" topLeftCell="A3" activePane="bottomLeft" state="frozen"/>
      <selection pane="bottomLeft" activeCell="F6" sqref="F6"/>
    </sheetView>
  </sheetViews>
  <sheetFormatPr defaultRowHeight="14.5" x14ac:dyDescent="0.35"/>
  <cols>
    <col min="1" max="1" width="10.1796875" style="7" bestFit="1" customWidth="1"/>
    <col min="2" max="2" width="64" bestFit="1" customWidth="1"/>
    <col min="3" max="3" width="14.81640625" style="7" bestFit="1" customWidth="1"/>
    <col min="4" max="4" width="19.54296875" style="1" customWidth="1"/>
    <col min="5" max="5" width="15.1796875" style="2" customWidth="1"/>
    <col min="6" max="6" width="42" style="2" customWidth="1"/>
    <col min="7" max="7" width="18.26953125" style="2" customWidth="1"/>
    <col min="8" max="8" width="73.7265625" customWidth="1"/>
  </cols>
  <sheetData>
    <row r="1" spans="1:8" x14ac:dyDescent="0.35">
      <c r="A1" s="43" t="s">
        <v>285</v>
      </c>
      <c r="B1" s="43"/>
      <c r="C1" s="6" t="s">
        <v>0</v>
      </c>
      <c r="D1" s="1" t="s">
        <v>0</v>
      </c>
      <c r="E1" s="1"/>
      <c r="F1" s="1"/>
      <c r="G1"/>
    </row>
    <row r="2" spans="1:8" ht="29" x14ac:dyDescent="0.35">
      <c r="A2" s="6" t="s">
        <v>1</v>
      </c>
      <c r="B2" s="10" t="s">
        <v>2</v>
      </c>
      <c r="C2" s="9" t="s">
        <v>18</v>
      </c>
      <c r="D2" s="25" t="s">
        <v>29</v>
      </c>
      <c r="E2" s="9" t="s">
        <v>42</v>
      </c>
      <c r="F2" s="9" t="s">
        <v>516</v>
      </c>
      <c r="G2" s="4" t="s">
        <v>18</v>
      </c>
      <c r="H2" s="5"/>
    </row>
    <row r="3" spans="1:8" x14ac:dyDescent="0.35">
      <c r="A3" s="7" t="s">
        <v>466</v>
      </c>
      <c r="B3" t="s">
        <v>511</v>
      </c>
      <c r="C3" s="7" t="s">
        <v>27</v>
      </c>
      <c r="D3" s="26" t="s">
        <v>27</v>
      </c>
      <c r="E3" s="8" t="s">
        <v>543</v>
      </c>
      <c r="F3" s="9"/>
      <c r="G3" s="4">
        <v>0</v>
      </c>
      <c r="H3" s="5" t="s">
        <v>19</v>
      </c>
    </row>
    <row r="4" spans="1:8" x14ac:dyDescent="0.35">
      <c r="A4" s="7" t="s">
        <v>467</v>
      </c>
      <c r="B4" t="s">
        <v>82</v>
      </c>
      <c r="C4" s="14" t="s">
        <v>28</v>
      </c>
      <c r="D4" s="27" t="s">
        <v>530</v>
      </c>
      <c r="E4" s="8"/>
      <c r="F4" s="18" t="s">
        <v>521</v>
      </c>
      <c r="G4" s="4">
        <v>1</v>
      </c>
      <c r="H4" s="5" t="s">
        <v>20</v>
      </c>
    </row>
    <row r="5" spans="1:8" x14ac:dyDescent="0.35">
      <c r="A5" s="7" t="s">
        <v>468</v>
      </c>
      <c r="B5" t="s">
        <v>88</v>
      </c>
      <c r="C5" s="7" t="s">
        <v>27</v>
      </c>
      <c r="D5" s="26" t="s">
        <v>27</v>
      </c>
      <c r="G5" s="4">
        <v>2</v>
      </c>
      <c r="H5" s="5" t="s">
        <v>21</v>
      </c>
    </row>
    <row r="6" spans="1:8" x14ac:dyDescent="0.35">
      <c r="A6" s="7" t="s">
        <v>469</v>
      </c>
      <c r="B6" t="s">
        <v>7</v>
      </c>
      <c r="C6" s="17" t="s">
        <v>28</v>
      </c>
      <c r="D6" s="42" t="s">
        <v>28</v>
      </c>
      <c r="G6" s="4">
        <v>3</v>
      </c>
      <c r="H6" s="5" t="s">
        <v>22</v>
      </c>
    </row>
    <row r="7" spans="1:8" x14ac:dyDescent="0.35">
      <c r="A7" s="7" t="s">
        <v>470</v>
      </c>
      <c r="B7" t="s">
        <v>6</v>
      </c>
      <c r="C7" s="14" t="s">
        <v>25</v>
      </c>
      <c r="D7" s="42" t="s">
        <v>28</v>
      </c>
      <c r="E7" s="21"/>
      <c r="F7" s="18" t="s">
        <v>519</v>
      </c>
      <c r="G7" s="4">
        <v>4</v>
      </c>
      <c r="H7" s="5" t="s">
        <v>23</v>
      </c>
    </row>
    <row r="8" spans="1:8" x14ac:dyDescent="0.35">
      <c r="A8" s="7" t="s">
        <v>471</v>
      </c>
      <c r="B8" t="s">
        <v>87</v>
      </c>
      <c r="C8" s="14" t="s">
        <v>28</v>
      </c>
      <c r="D8" s="27">
        <v>0</v>
      </c>
      <c r="E8" s="8"/>
      <c r="F8" s="18" t="s">
        <v>532</v>
      </c>
      <c r="G8" s="4">
        <v>5</v>
      </c>
      <c r="H8" s="5" t="s">
        <v>529</v>
      </c>
    </row>
    <row r="9" spans="1:8" x14ac:dyDescent="0.35">
      <c r="A9" s="38" t="s">
        <v>472</v>
      </c>
      <c r="B9" t="s">
        <v>251</v>
      </c>
      <c r="C9" s="17" t="s">
        <v>25</v>
      </c>
      <c r="D9" s="28" t="s">
        <v>25</v>
      </c>
    </row>
    <row r="10" spans="1:8" x14ac:dyDescent="0.35">
      <c r="A10" s="38" t="s">
        <v>473</v>
      </c>
      <c r="B10" t="s">
        <v>252</v>
      </c>
      <c r="C10" s="17" t="s">
        <v>25</v>
      </c>
      <c r="D10" s="28" t="s">
        <v>25</v>
      </c>
    </row>
    <row r="11" spans="1:8" x14ac:dyDescent="0.35">
      <c r="A11" s="38" t="s">
        <v>474</v>
      </c>
      <c r="B11" t="s">
        <v>512</v>
      </c>
      <c r="C11" s="7" t="s">
        <v>25</v>
      </c>
      <c r="D11" s="26" t="s">
        <v>25</v>
      </c>
    </row>
    <row r="12" spans="1:8" x14ac:dyDescent="0.35">
      <c r="A12" s="38" t="s">
        <v>475</v>
      </c>
      <c r="B12" t="s">
        <v>512</v>
      </c>
      <c r="C12" s="7" t="s">
        <v>25</v>
      </c>
      <c r="D12" s="26" t="s">
        <v>25</v>
      </c>
    </row>
    <row r="13" spans="1:8" x14ac:dyDescent="0.35">
      <c r="A13" s="38" t="s">
        <v>476</v>
      </c>
      <c r="B13" t="s">
        <v>513</v>
      </c>
      <c r="C13" s="7" t="s">
        <v>25</v>
      </c>
      <c r="D13" s="26" t="s">
        <v>25</v>
      </c>
    </row>
    <row r="14" spans="1:8" x14ac:dyDescent="0.35">
      <c r="A14" s="38" t="s">
        <v>477</v>
      </c>
      <c r="B14" t="s">
        <v>513</v>
      </c>
      <c r="C14" s="7" t="s">
        <v>25</v>
      </c>
      <c r="D14" s="26" t="s">
        <v>25</v>
      </c>
    </row>
    <row r="15" spans="1:8" x14ac:dyDescent="0.35">
      <c r="A15" s="7" t="s">
        <v>478</v>
      </c>
      <c r="B15" t="s">
        <v>514</v>
      </c>
      <c r="C15" s="14" t="s">
        <v>28</v>
      </c>
      <c r="D15" s="27" t="s">
        <v>530</v>
      </c>
      <c r="E15" s="8"/>
      <c r="F15" s="18" t="s">
        <v>521</v>
      </c>
    </row>
    <row r="16" spans="1:8" x14ac:dyDescent="0.35">
      <c r="A16" s="7" t="s">
        <v>479</v>
      </c>
      <c r="B16" t="s">
        <v>88</v>
      </c>
      <c r="C16" s="14" t="s">
        <v>24</v>
      </c>
      <c r="D16" s="27" t="s">
        <v>530</v>
      </c>
      <c r="E16" s="8"/>
      <c r="F16" s="18" t="s">
        <v>534</v>
      </c>
    </row>
    <row r="17" spans="1:6" x14ac:dyDescent="0.35">
      <c r="A17" s="38" t="s">
        <v>480</v>
      </c>
      <c r="B17" t="s">
        <v>35</v>
      </c>
      <c r="C17" s="7" t="s">
        <v>25</v>
      </c>
      <c r="D17" s="26" t="s">
        <v>25</v>
      </c>
    </row>
    <row r="18" spans="1:6" x14ac:dyDescent="0.35">
      <c r="A18" s="7" t="s">
        <v>481</v>
      </c>
      <c r="B18" t="s">
        <v>7</v>
      </c>
      <c r="C18" s="17" t="s">
        <v>28</v>
      </c>
      <c r="D18" s="26" t="s">
        <v>28</v>
      </c>
    </row>
    <row r="19" spans="1:6" x14ac:dyDescent="0.35">
      <c r="A19" s="7" t="s">
        <v>482</v>
      </c>
      <c r="B19" t="s">
        <v>8</v>
      </c>
      <c r="C19" s="14" t="s">
        <v>25</v>
      </c>
      <c r="D19" s="27" t="s">
        <v>28</v>
      </c>
      <c r="E19" s="21"/>
      <c r="F19" s="18" t="s">
        <v>519</v>
      </c>
    </row>
    <row r="20" spans="1:6" x14ac:dyDescent="0.35">
      <c r="A20" s="7" t="s">
        <v>483</v>
      </c>
      <c r="B20" t="s">
        <v>264</v>
      </c>
      <c r="C20" s="14" t="s">
        <v>28</v>
      </c>
      <c r="D20" s="27" t="s">
        <v>530</v>
      </c>
      <c r="E20" s="8"/>
      <c r="F20" s="18" t="s">
        <v>521</v>
      </c>
    </row>
    <row r="21" spans="1:6" x14ac:dyDescent="0.35">
      <c r="A21" s="7" t="s">
        <v>484</v>
      </c>
      <c r="B21" t="s">
        <v>87</v>
      </c>
      <c r="C21" s="14" t="s">
        <v>28</v>
      </c>
      <c r="D21" s="27">
        <v>0</v>
      </c>
      <c r="E21" s="8"/>
      <c r="F21" s="18" t="s">
        <v>532</v>
      </c>
    </row>
    <row r="22" spans="1:6" x14ac:dyDescent="0.35">
      <c r="A22" s="7" t="s">
        <v>485</v>
      </c>
      <c r="B22" t="s">
        <v>8</v>
      </c>
      <c r="C22" s="14" t="s">
        <v>25</v>
      </c>
      <c r="D22" s="27" t="s">
        <v>28</v>
      </c>
      <c r="E22" s="21"/>
      <c r="F22" s="18" t="s">
        <v>519</v>
      </c>
    </row>
    <row r="23" spans="1:6" x14ac:dyDescent="0.35">
      <c r="A23" s="7" t="s">
        <v>486</v>
      </c>
      <c r="B23" t="s">
        <v>264</v>
      </c>
      <c r="C23" s="14" t="s">
        <v>28</v>
      </c>
      <c r="D23" s="27" t="s">
        <v>530</v>
      </c>
      <c r="E23" s="8"/>
      <c r="F23" s="18" t="s">
        <v>521</v>
      </c>
    </row>
    <row r="24" spans="1:6" x14ac:dyDescent="0.35">
      <c r="A24" s="7" t="s">
        <v>487</v>
      </c>
      <c r="B24" t="s">
        <v>8</v>
      </c>
      <c r="C24" s="14" t="s">
        <v>25</v>
      </c>
      <c r="D24" s="27" t="s">
        <v>28</v>
      </c>
      <c r="E24" s="21"/>
      <c r="F24" s="18" t="s">
        <v>519</v>
      </c>
    </row>
    <row r="25" spans="1:6" x14ac:dyDescent="0.35">
      <c r="A25" s="39" t="s">
        <v>488</v>
      </c>
      <c r="B25" t="s">
        <v>41</v>
      </c>
      <c r="C25" s="7" t="s">
        <v>26</v>
      </c>
      <c r="D25" s="26" t="s">
        <v>26</v>
      </c>
      <c r="E25" s="8" t="s">
        <v>543</v>
      </c>
    </row>
    <row r="26" spans="1:6" x14ac:dyDescent="0.35">
      <c r="A26" s="7" t="s">
        <v>489</v>
      </c>
      <c r="B26" t="s">
        <v>265</v>
      </c>
      <c r="C26" s="14" t="s">
        <v>28</v>
      </c>
      <c r="D26" s="27" t="s">
        <v>530</v>
      </c>
      <c r="E26" s="8"/>
      <c r="F26" s="18" t="s">
        <v>521</v>
      </c>
    </row>
    <row r="27" spans="1:6" x14ac:dyDescent="0.35">
      <c r="A27" s="7" t="s">
        <v>490</v>
      </c>
      <c r="B27" t="s">
        <v>88</v>
      </c>
      <c r="C27" s="14" t="s">
        <v>24</v>
      </c>
      <c r="D27" s="27" t="s">
        <v>530</v>
      </c>
      <c r="E27" s="8"/>
      <c r="F27" s="18" t="s">
        <v>534</v>
      </c>
    </row>
    <row r="28" spans="1:6" x14ac:dyDescent="0.35">
      <c r="A28" s="7" t="s">
        <v>491</v>
      </c>
      <c r="B28" t="s">
        <v>515</v>
      </c>
      <c r="C28" s="14" t="s">
        <v>28</v>
      </c>
      <c r="D28" s="27" t="s">
        <v>530</v>
      </c>
      <c r="E28" s="8"/>
      <c r="F28" s="18" t="s">
        <v>531</v>
      </c>
    </row>
    <row r="29" spans="1:6" x14ac:dyDescent="0.35">
      <c r="A29" s="7" t="s">
        <v>492</v>
      </c>
      <c r="B29" t="s">
        <v>7</v>
      </c>
      <c r="C29" s="17" t="s">
        <v>28</v>
      </c>
      <c r="D29" s="26" t="s">
        <v>28</v>
      </c>
    </row>
    <row r="30" spans="1:6" x14ac:dyDescent="0.35">
      <c r="A30" s="38" t="s">
        <v>493</v>
      </c>
      <c r="B30" t="s">
        <v>252</v>
      </c>
      <c r="C30" s="17" t="s">
        <v>25</v>
      </c>
      <c r="D30" s="28" t="s">
        <v>25</v>
      </c>
    </row>
    <row r="31" spans="1:6" x14ac:dyDescent="0.35">
      <c r="A31" s="38" t="s">
        <v>494</v>
      </c>
      <c r="B31" t="s">
        <v>251</v>
      </c>
      <c r="C31" s="17" t="s">
        <v>25</v>
      </c>
      <c r="D31" s="28" t="s">
        <v>25</v>
      </c>
    </row>
    <row r="32" spans="1:6" x14ac:dyDescent="0.35">
      <c r="A32" s="7" t="s">
        <v>495</v>
      </c>
      <c r="B32" t="s">
        <v>87</v>
      </c>
      <c r="C32" s="14" t="s">
        <v>28</v>
      </c>
      <c r="D32" s="27" t="s">
        <v>530</v>
      </c>
      <c r="E32" s="8"/>
      <c r="F32" s="18" t="s">
        <v>532</v>
      </c>
    </row>
    <row r="33" spans="1:7" x14ac:dyDescent="0.35">
      <c r="A33" s="7" t="s">
        <v>496</v>
      </c>
      <c r="B33" t="s">
        <v>88</v>
      </c>
      <c r="C33" s="7" t="s">
        <v>27</v>
      </c>
      <c r="D33" s="26" t="s">
        <v>27</v>
      </c>
      <c r="E33" s="8" t="s">
        <v>543</v>
      </c>
    </row>
    <row r="34" spans="1:7" x14ac:dyDescent="0.35">
      <c r="A34" s="7" t="s">
        <v>497</v>
      </c>
      <c r="B34" t="s">
        <v>82</v>
      </c>
      <c r="C34" s="14" t="s">
        <v>28</v>
      </c>
      <c r="D34" s="27" t="s">
        <v>530</v>
      </c>
      <c r="E34" s="8"/>
      <c r="F34" s="18" t="s">
        <v>521</v>
      </c>
    </row>
    <row r="35" spans="1:7" x14ac:dyDescent="0.35">
      <c r="A35" s="7" t="s">
        <v>498</v>
      </c>
      <c r="B35" t="s">
        <v>7</v>
      </c>
      <c r="C35" s="17" t="s">
        <v>28</v>
      </c>
      <c r="D35" s="26" t="s">
        <v>28</v>
      </c>
    </row>
    <row r="36" spans="1:7" x14ac:dyDescent="0.35">
      <c r="A36" s="7" t="s">
        <v>499</v>
      </c>
      <c r="B36" t="s">
        <v>88</v>
      </c>
      <c r="C36" s="14" t="s">
        <v>24</v>
      </c>
      <c r="D36" s="27" t="s">
        <v>530</v>
      </c>
      <c r="E36" s="8"/>
      <c r="F36" s="18" t="s">
        <v>534</v>
      </c>
    </row>
    <row r="37" spans="1:7" x14ac:dyDescent="0.35">
      <c r="A37" s="7" t="s">
        <v>500</v>
      </c>
      <c r="B37" t="s">
        <v>7</v>
      </c>
      <c r="C37" s="17" t="s">
        <v>28</v>
      </c>
      <c r="D37" s="26" t="s">
        <v>28</v>
      </c>
    </row>
    <row r="38" spans="1:7" x14ac:dyDescent="0.35">
      <c r="A38" s="7" t="s">
        <v>501</v>
      </c>
      <c r="B38" t="s">
        <v>88</v>
      </c>
      <c r="C38" s="14" t="s">
        <v>24</v>
      </c>
      <c r="D38" s="27" t="s">
        <v>530</v>
      </c>
      <c r="E38" s="8"/>
      <c r="F38" s="18" t="s">
        <v>534</v>
      </c>
    </row>
    <row r="39" spans="1:7" x14ac:dyDescent="0.35">
      <c r="A39" s="7" t="s">
        <v>502</v>
      </c>
      <c r="B39" t="s">
        <v>7</v>
      </c>
      <c r="C39" s="17" t="s">
        <v>28</v>
      </c>
      <c r="D39" s="26" t="s">
        <v>28</v>
      </c>
    </row>
    <row r="40" spans="1:7" x14ac:dyDescent="0.35">
      <c r="A40" s="7" t="s">
        <v>503</v>
      </c>
      <c r="B40" t="s">
        <v>88</v>
      </c>
      <c r="C40" s="14" t="s">
        <v>24</v>
      </c>
      <c r="D40" s="27" t="s">
        <v>530</v>
      </c>
      <c r="E40" s="8"/>
      <c r="F40" s="18" t="s">
        <v>534</v>
      </c>
    </row>
    <row r="41" spans="1:7" x14ac:dyDescent="0.35">
      <c r="A41" s="7" t="s">
        <v>504</v>
      </c>
      <c r="B41" t="s">
        <v>7</v>
      </c>
      <c r="C41" s="17" t="s">
        <v>28</v>
      </c>
      <c r="D41" s="26" t="s">
        <v>28</v>
      </c>
    </row>
    <row r="42" spans="1:7" x14ac:dyDescent="0.35">
      <c r="A42" s="7" t="s">
        <v>505</v>
      </c>
      <c r="B42" t="s">
        <v>454</v>
      </c>
      <c r="C42" s="14" t="s">
        <v>25</v>
      </c>
      <c r="D42" s="27">
        <v>0</v>
      </c>
      <c r="E42" s="8"/>
      <c r="F42" s="18" t="s">
        <v>519</v>
      </c>
    </row>
    <row r="43" spans="1:7" x14ac:dyDescent="0.35">
      <c r="A43" s="7" t="s">
        <v>506</v>
      </c>
      <c r="B43" t="s">
        <v>464</v>
      </c>
      <c r="C43" s="17" t="s">
        <v>28</v>
      </c>
      <c r="D43" s="26" t="s">
        <v>28</v>
      </c>
    </row>
    <row r="44" spans="1:7" x14ac:dyDescent="0.35">
      <c r="A44" s="7" t="s">
        <v>507</v>
      </c>
      <c r="B44" t="s">
        <v>88</v>
      </c>
      <c r="C44" s="14" t="s">
        <v>24</v>
      </c>
      <c r="D44" s="27">
        <v>0</v>
      </c>
      <c r="E44" s="8"/>
      <c r="F44" s="18" t="s">
        <v>518</v>
      </c>
    </row>
    <row r="45" spans="1:7" x14ac:dyDescent="0.35">
      <c r="A45" s="7" t="s">
        <v>508</v>
      </c>
      <c r="B45" t="s">
        <v>88</v>
      </c>
      <c r="C45" s="14" t="s">
        <v>24</v>
      </c>
      <c r="D45" s="27" t="s">
        <v>530</v>
      </c>
      <c r="E45" s="8"/>
      <c r="F45" s="18" t="s">
        <v>534</v>
      </c>
    </row>
    <row r="46" spans="1:7" x14ac:dyDescent="0.35">
      <c r="A46" s="7" t="s">
        <v>509</v>
      </c>
      <c r="B46" t="s">
        <v>464</v>
      </c>
      <c r="C46" s="17" t="s">
        <v>28</v>
      </c>
      <c r="D46" s="26" t="s">
        <v>28</v>
      </c>
    </row>
    <row r="47" spans="1:7" x14ac:dyDescent="0.35">
      <c r="A47" s="7" t="s">
        <v>510</v>
      </c>
      <c r="B47" t="s">
        <v>88</v>
      </c>
      <c r="C47" s="14" t="s">
        <v>24</v>
      </c>
      <c r="D47" s="27" t="s">
        <v>530</v>
      </c>
      <c r="E47" s="8"/>
      <c r="F47" s="18" t="s">
        <v>534</v>
      </c>
    </row>
    <row r="48" spans="1:7" x14ac:dyDescent="0.35">
      <c r="E48" s="3">
        <f>SUM(E2:E47)</f>
        <v>0</v>
      </c>
      <c r="F48" s="3">
        <f>SUM(F2:F47)</f>
        <v>0</v>
      </c>
      <c r="G48" s="3" t="s">
        <v>43</v>
      </c>
    </row>
  </sheetData>
  <autoFilter ref="A2:F48" xr:uid="{00000000-0009-0000-0000-000003000000}"/>
  <mergeCells count="1">
    <mergeCell ref="A1:B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813B-C2EE-4917-8ECF-1E8ED62F6663}">
  <dimension ref="A1:B19"/>
  <sheetViews>
    <sheetView tabSelected="1" workbookViewId="0">
      <selection activeCell="E14" sqref="E14"/>
    </sheetView>
  </sheetViews>
  <sheetFormatPr defaultRowHeight="14.5" x14ac:dyDescent="0.35"/>
  <cols>
    <col min="1" max="1" width="18.54296875" customWidth="1"/>
    <col min="2" max="2" width="44.7265625" customWidth="1"/>
  </cols>
  <sheetData>
    <row r="1" spans="1:2" x14ac:dyDescent="0.35">
      <c r="A1" s="41" t="s">
        <v>578</v>
      </c>
      <c r="B1" s="41" t="s">
        <v>579</v>
      </c>
    </row>
    <row r="2" spans="1:2" x14ac:dyDescent="0.35">
      <c r="A2" s="41" t="s">
        <v>547</v>
      </c>
      <c r="B2" s="41" t="s">
        <v>545</v>
      </c>
    </row>
    <row r="3" spans="1:2" x14ac:dyDescent="0.35">
      <c r="A3" s="41" t="s">
        <v>546</v>
      </c>
      <c r="B3" s="41" t="s">
        <v>545</v>
      </c>
    </row>
    <row r="4" spans="1:2" x14ac:dyDescent="0.35">
      <c r="A4" s="41" t="s">
        <v>544</v>
      </c>
      <c r="B4" s="41" t="s">
        <v>545</v>
      </c>
    </row>
    <row r="5" spans="1:2" x14ac:dyDescent="0.35">
      <c r="A5" s="41" t="s">
        <v>576</v>
      </c>
      <c r="B5" s="41" t="s">
        <v>577</v>
      </c>
    </row>
    <row r="6" spans="1:2" x14ac:dyDescent="0.35">
      <c r="A6" s="41" t="s">
        <v>574</v>
      </c>
      <c r="B6" s="41" t="s">
        <v>575</v>
      </c>
    </row>
    <row r="7" spans="1:2" x14ac:dyDescent="0.35">
      <c r="A7" s="41" t="s">
        <v>572</v>
      </c>
      <c r="B7" s="41" t="s">
        <v>573</v>
      </c>
    </row>
    <row r="8" spans="1:2" x14ac:dyDescent="0.35">
      <c r="A8" s="41" t="s">
        <v>570</v>
      </c>
      <c r="B8" s="41" t="s">
        <v>571</v>
      </c>
    </row>
    <row r="9" spans="1:2" x14ac:dyDescent="0.35">
      <c r="A9" s="41" t="s">
        <v>568</v>
      </c>
      <c r="B9" s="41" t="s">
        <v>569</v>
      </c>
    </row>
    <row r="10" spans="1:2" x14ac:dyDescent="0.35">
      <c r="A10" s="41" t="s">
        <v>566</v>
      </c>
      <c r="B10" s="41" t="s">
        <v>567</v>
      </c>
    </row>
    <row r="11" spans="1:2" x14ac:dyDescent="0.35">
      <c r="A11" s="41" t="s">
        <v>564</v>
      </c>
      <c r="B11" s="41" t="s">
        <v>565</v>
      </c>
    </row>
    <row r="12" spans="1:2" x14ac:dyDescent="0.35">
      <c r="A12" s="41" t="s">
        <v>552</v>
      </c>
      <c r="B12" s="41" t="s">
        <v>553</v>
      </c>
    </row>
    <row r="13" spans="1:2" x14ac:dyDescent="0.35">
      <c r="A13" s="41" t="s">
        <v>550</v>
      </c>
      <c r="B13" s="41" t="s">
        <v>551</v>
      </c>
    </row>
    <row r="14" spans="1:2" x14ac:dyDescent="0.35">
      <c r="A14" s="41" t="s">
        <v>548</v>
      </c>
      <c r="B14" s="41" t="s">
        <v>549</v>
      </c>
    </row>
    <row r="15" spans="1:2" x14ac:dyDescent="0.35">
      <c r="A15" s="41" t="s">
        <v>558</v>
      </c>
      <c r="B15" s="41" t="s">
        <v>559</v>
      </c>
    </row>
    <row r="16" spans="1:2" x14ac:dyDescent="0.35">
      <c r="A16" s="41" t="s">
        <v>556</v>
      </c>
      <c r="B16" s="41" t="s">
        <v>557</v>
      </c>
    </row>
    <row r="17" spans="1:2" x14ac:dyDescent="0.35">
      <c r="A17" s="41" t="s">
        <v>554</v>
      </c>
      <c r="B17" s="41" t="s">
        <v>555</v>
      </c>
    </row>
    <row r="18" spans="1:2" x14ac:dyDescent="0.35">
      <c r="A18" s="41" t="s">
        <v>560</v>
      </c>
      <c r="B18" s="41" t="s">
        <v>561</v>
      </c>
    </row>
    <row r="19" spans="1:2" x14ac:dyDescent="0.35">
      <c r="A19" s="41" t="s">
        <v>562</v>
      </c>
      <c r="B19" s="41" t="s">
        <v>563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BE20-E602-4C32-8161-F3509E188175}">
  <dimension ref="A1:H163"/>
  <sheetViews>
    <sheetView workbookViewId="0">
      <selection activeCell="G1" sqref="G1:G1048576"/>
    </sheetView>
  </sheetViews>
  <sheetFormatPr defaultRowHeight="14.5" x14ac:dyDescent="0.35"/>
  <cols>
    <col min="1" max="1" width="12.81640625" customWidth="1"/>
    <col min="2" max="2" width="10.81640625" style="2" customWidth="1"/>
    <col min="3" max="3" width="8.7265625" style="2"/>
    <col min="4" max="4" width="15" customWidth="1"/>
    <col min="5" max="5" width="11.453125" customWidth="1"/>
    <col min="6" max="6" width="11.54296875" customWidth="1"/>
    <col min="7" max="7" width="11.453125" customWidth="1"/>
    <col min="8" max="8" width="16" customWidth="1"/>
  </cols>
  <sheetData>
    <row r="1" spans="1:8" x14ac:dyDescent="0.35">
      <c r="A1" s="11" t="s">
        <v>580</v>
      </c>
    </row>
    <row r="2" spans="1:8" x14ac:dyDescent="0.35">
      <c r="A2" s="4" t="s">
        <v>581</v>
      </c>
      <c r="B2" s="4" t="s">
        <v>582</v>
      </c>
      <c r="C2" s="4" t="s">
        <v>583</v>
      </c>
      <c r="D2" s="4" t="s">
        <v>584</v>
      </c>
      <c r="E2" s="4" t="s">
        <v>585</v>
      </c>
      <c r="F2" s="4" t="s">
        <v>586</v>
      </c>
      <c r="G2" s="4" t="s">
        <v>585</v>
      </c>
      <c r="H2" s="45" t="s">
        <v>0</v>
      </c>
    </row>
    <row r="3" spans="1:8" x14ac:dyDescent="0.35">
      <c r="A3" s="46" t="s">
        <v>587</v>
      </c>
      <c r="B3" s="47">
        <v>6</v>
      </c>
      <c r="C3" s="48">
        <v>4</v>
      </c>
      <c r="D3" s="47" t="s">
        <v>588</v>
      </c>
      <c r="E3" s="49">
        <v>88</v>
      </c>
      <c r="F3" s="48" t="s">
        <v>589</v>
      </c>
      <c r="G3" s="49">
        <v>88</v>
      </c>
    </row>
    <row r="4" spans="1:8" x14ac:dyDescent="0.35">
      <c r="A4" s="46" t="s">
        <v>590</v>
      </c>
      <c r="B4" s="47">
        <v>7</v>
      </c>
      <c r="C4" s="48">
        <v>5</v>
      </c>
      <c r="D4" s="47" t="s">
        <v>588</v>
      </c>
      <c r="E4" s="49">
        <v>88</v>
      </c>
      <c r="F4" s="50" t="s">
        <v>588</v>
      </c>
      <c r="G4" s="49">
        <v>88</v>
      </c>
    </row>
    <row r="5" spans="1:8" x14ac:dyDescent="0.35">
      <c r="A5" s="46" t="s">
        <v>591</v>
      </c>
      <c r="B5" s="47">
        <v>6</v>
      </c>
      <c r="C5" s="48">
        <v>4</v>
      </c>
      <c r="D5" s="47" t="s">
        <v>588</v>
      </c>
      <c r="E5" s="49">
        <v>79</v>
      </c>
      <c r="F5" s="48" t="s">
        <v>589</v>
      </c>
      <c r="G5" s="49">
        <v>79</v>
      </c>
    </row>
    <row r="6" spans="1:8" x14ac:dyDescent="0.35">
      <c r="A6" s="46" t="s">
        <v>592</v>
      </c>
      <c r="B6" s="47">
        <v>7</v>
      </c>
      <c r="C6" s="48">
        <v>5</v>
      </c>
      <c r="D6" s="47" t="s">
        <v>588</v>
      </c>
      <c r="E6" s="49">
        <v>79</v>
      </c>
      <c r="F6" s="50" t="s">
        <v>588</v>
      </c>
      <c r="G6" s="49">
        <v>79</v>
      </c>
    </row>
    <row r="7" spans="1:8" x14ac:dyDescent="0.35">
      <c r="A7" s="51" t="s">
        <v>593</v>
      </c>
      <c r="B7" s="52">
        <v>19</v>
      </c>
      <c r="C7" s="53">
        <v>17</v>
      </c>
      <c r="D7" s="47" t="s">
        <v>594</v>
      </c>
      <c r="E7" s="49">
        <v>13</v>
      </c>
      <c r="F7" s="48" t="s">
        <v>594</v>
      </c>
      <c r="G7" s="49">
        <v>13</v>
      </c>
    </row>
    <row r="8" spans="1:8" x14ac:dyDescent="0.35">
      <c r="A8" s="54"/>
      <c r="B8" s="55"/>
      <c r="C8" s="56"/>
      <c r="D8" s="47" t="s">
        <v>594</v>
      </c>
      <c r="E8" s="49">
        <v>13</v>
      </c>
      <c r="F8" s="48" t="s">
        <v>588</v>
      </c>
      <c r="G8" s="49">
        <v>13</v>
      </c>
    </row>
    <row r="9" spans="1:8" x14ac:dyDescent="0.35">
      <c r="A9" s="51" t="s">
        <v>595</v>
      </c>
      <c r="B9" s="52">
        <v>15</v>
      </c>
      <c r="C9" s="53">
        <v>13</v>
      </c>
      <c r="D9" s="47" t="s">
        <v>594</v>
      </c>
      <c r="E9" s="49">
        <v>13</v>
      </c>
      <c r="F9" s="50" t="s">
        <v>594</v>
      </c>
      <c r="G9" s="49">
        <v>13</v>
      </c>
    </row>
    <row r="10" spans="1:8" x14ac:dyDescent="0.35">
      <c r="A10" s="54"/>
      <c r="B10" s="55"/>
      <c r="C10" s="56"/>
      <c r="D10" s="47" t="s">
        <v>588</v>
      </c>
      <c r="E10" s="49">
        <v>13</v>
      </c>
      <c r="F10" s="50" t="s">
        <v>589</v>
      </c>
      <c r="G10" s="49">
        <v>13</v>
      </c>
    </row>
    <row r="11" spans="1:8" x14ac:dyDescent="0.35">
      <c r="A11" s="51" t="s">
        <v>596</v>
      </c>
      <c r="B11" s="52">
        <v>20</v>
      </c>
      <c r="C11" s="53">
        <v>18</v>
      </c>
      <c r="D11" s="47" t="s">
        <v>594</v>
      </c>
      <c r="E11" s="49">
        <v>17</v>
      </c>
      <c r="F11" s="48" t="s">
        <v>594</v>
      </c>
      <c r="G11" s="49">
        <v>17</v>
      </c>
    </row>
    <row r="12" spans="1:8" x14ac:dyDescent="0.35">
      <c r="A12" s="54"/>
      <c r="B12" s="55"/>
      <c r="C12" s="56"/>
      <c r="D12" s="47" t="s">
        <v>594</v>
      </c>
      <c r="E12" s="49">
        <v>17</v>
      </c>
      <c r="F12" s="48" t="s">
        <v>594</v>
      </c>
      <c r="G12" s="49">
        <v>17</v>
      </c>
    </row>
    <row r="13" spans="1:8" x14ac:dyDescent="0.35">
      <c r="A13" s="51" t="s">
        <v>597</v>
      </c>
      <c r="B13" s="52">
        <v>16</v>
      </c>
      <c r="C13" s="53">
        <v>14</v>
      </c>
      <c r="D13" s="47" t="s">
        <v>594</v>
      </c>
      <c r="E13" s="49">
        <v>17</v>
      </c>
      <c r="F13" s="50" t="s">
        <v>594</v>
      </c>
      <c r="G13" s="49">
        <v>17</v>
      </c>
    </row>
    <row r="14" spans="1:8" x14ac:dyDescent="0.35">
      <c r="A14" s="54"/>
      <c r="B14" s="55"/>
      <c r="C14" s="56"/>
      <c r="D14" s="47" t="s">
        <v>588</v>
      </c>
      <c r="E14" s="49">
        <v>17</v>
      </c>
      <c r="F14" s="50" t="s">
        <v>589</v>
      </c>
      <c r="G14" s="49">
        <v>17</v>
      </c>
    </row>
    <row r="15" spans="1:8" x14ac:dyDescent="0.35">
      <c r="A15" s="51" t="s">
        <v>598</v>
      </c>
      <c r="B15" s="52">
        <v>20</v>
      </c>
      <c r="C15" s="53">
        <v>18</v>
      </c>
      <c r="D15" s="47" t="s">
        <v>594</v>
      </c>
      <c r="E15" s="49">
        <v>19</v>
      </c>
      <c r="F15" s="48" t="s">
        <v>594</v>
      </c>
      <c r="G15" s="49">
        <v>19</v>
      </c>
    </row>
    <row r="16" spans="1:8" x14ac:dyDescent="0.35">
      <c r="A16" s="54"/>
      <c r="B16" s="55"/>
      <c r="C16" s="56"/>
      <c r="D16" s="47" t="s">
        <v>594</v>
      </c>
      <c r="E16" s="49">
        <v>19</v>
      </c>
      <c r="F16" s="48" t="s">
        <v>594</v>
      </c>
      <c r="G16" s="49">
        <v>19</v>
      </c>
    </row>
    <row r="17" spans="1:7" x14ac:dyDescent="0.35">
      <c r="A17" s="51" t="s">
        <v>599</v>
      </c>
      <c r="B17" s="52">
        <v>16</v>
      </c>
      <c r="C17" s="53">
        <v>14</v>
      </c>
      <c r="D17" s="47" t="s">
        <v>594</v>
      </c>
      <c r="E17" s="49">
        <v>19</v>
      </c>
      <c r="F17" s="50" t="s">
        <v>594</v>
      </c>
      <c r="G17" s="49">
        <v>19</v>
      </c>
    </row>
    <row r="18" spans="1:7" x14ac:dyDescent="0.35">
      <c r="A18" s="54"/>
      <c r="B18" s="55"/>
      <c r="C18" s="56"/>
      <c r="D18" s="47" t="s">
        <v>588</v>
      </c>
      <c r="E18" s="49">
        <v>19</v>
      </c>
      <c r="F18" s="50" t="s">
        <v>589</v>
      </c>
      <c r="G18" s="49">
        <v>19</v>
      </c>
    </row>
    <row r="19" spans="1:7" x14ac:dyDescent="0.35">
      <c r="A19" s="51" t="s">
        <v>600</v>
      </c>
      <c r="B19" s="52">
        <v>27</v>
      </c>
      <c r="C19" s="53">
        <v>25</v>
      </c>
      <c r="D19" s="47" t="s">
        <v>594</v>
      </c>
      <c r="E19" s="49">
        <v>125</v>
      </c>
      <c r="F19" s="48" t="s">
        <v>594</v>
      </c>
      <c r="G19" s="49">
        <v>125</v>
      </c>
    </row>
    <row r="20" spans="1:7" x14ac:dyDescent="0.35">
      <c r="A20" s="57"/>
      <c r="B20" s="58"/>
      <c r="C20" s="59"/>
      <c r="D20" s="47" t="s">
        <v>594</v>
      </c>
      <c r="E20" s="49">
        <v>125</v>
      </c>
      <c r="F20" s="48" t="s">
        <v>594</v>
      </c>
      <c r="G20" s="49">
        <v>125</v>
      </c>
    </row>
    <row r="21" spans="1:7" x14ac:dyDescent="0.35">
      <c r="A21" s="54"/>
      <c r="B21" s="55"/>
      <c r="C21" s="56"/>
      <c r="D21" s="47" t="s">
        <v>588</v>
      </c>
      <c r="E21" s="49">
        <v>125</v>
      </c>
      <c r="F21" s="48" t="s">
        <v>588</v>
      </c>
      <c r="G21" s="49">
        <v>125</v>
      </c>
    </row>
    <row r="22" spans="1:7" x14ac:dyDescent="0.35">
      <c r="A22" s="51" t="s">
        <v>601</v>
      </c>
      <c r="B22" s="52">
        <v>21</v>
      </c>
      <c r="C22" s="53">
        <v>19</v>
      </c>
      <c r="D22" s="47" t="s">
        <v>594</v>
      </c>
      <c r="E22" s="49">
        <v>125</v>
      </c>
      <c r="F22" s="50" t="s">
        <v>594</v>
      </c>
      <c r="G22" s="49">
        <v>125</v>
      </c>
    </row>
    <row r="23" spans="1:7" x14ac:dyDescent="0.35">
      <c r="A23" s="57"/>
      <c r="B23" s="58"/>
      <c r="C23" s="59"/>
      <c r="D23" s="47" t="s">
        <v>594</v>
      </c>
      <c r="E23" s="49">
        <v>125</v>
      </c>
      <c r="F23" s="50" t="s">
        <v>594</v>
      </c>
      <c r="G23" s="49">
        <v>125</v>
      </c>
    </row>
    <row r="24" spans="1:7" x14ac:dyDescent="0.35">
      <c r="A24" s="54"/>
      <c r="B24" s="55"/>
      <c r="C24" s="56"/>
      <c r="D24" s="47" t="s">
        <v>589</v>
      </c>
      <c r="E24" s="49">
        <v>125</v>
      </c>
      <c r="F24" s="50">
        <v>0</v>
      </c>
      <c r="G24" s="49">
        <v>0</v>
      </c>
    </row>
    <row r="27" spans="1:7" x14ac:dyDescent="0.35">
      <c r="G27" s="19" t="s">
        <v>602</v>
      </c>
    </row>
    <row r="28" spans="1:7" x14ac:dyDescent="0.35">
      <c r="D28" s="41" t="s">
        <v>589</v>
      </c>
      <c r="E28" s="49">
        <f>E24+G3+G5</f>
        <v>292</v>
      </c>
      <c r="F28" s="41"/>
      <c r="G28" s="60">
        <f>G10+G14+G18</f>
        <v>49</v>
      </c>
    </row>
    <row r="29" spans="1:7" x14ac:dyDescent="0.35">
      <c r="D29" s="41" t="s">
        <v>588</v>
      </c>
      <c r="E29" s="49">
        <f>E3+E4+E5+E6+E10+E14+E18+E21+G8+G21</f>
        <v>646</v>
      </c>
      <c r="F29" s="61"/>
      <c r="G29" s="60">
        <f>G4+G6</f>
        <v>167</v>
      </c>
    </row>
    <row r="30" spans="1:7" x14ac:dyDescent="0.35">
      <c r="D30" s="41" t="s">
        <v>594</v>
      </c>
      <c r="E30" s="49">
        <f>E7+E8+E9+E11+E12+E13+E15+E16+E17+E19+E20+E22+E23+G7+G11+G12+G15+G16+G19+G20</f>
        <v>982</v>
      </c>
      <c r="F30" s="61"/>
      <c r="G30" s="60">
        <f>G9+G13+G17+G22+G23</f>
        <v>299</v>
      </c>
    </row>
    <row r="32" spans="1:7" x14ac:dyDescent="0.35">
      <c r="A32" s="11" t="s">
        <v>603</v>
      </c>
    </row>
    <row r="33" spans="1:8" x14ac:dyDescent="0.35">
      <c r="A33" s="4" t="s">
        <v>581</v>
      </c>
      <c r="B33" s="4" t="s">
        <v>582</v>
      </c>
      <c r="C33" s="4" t="s">
        <v>583</v>
      </c>
      <c r="D33" s="4" t="s">
        <v>584</v>
      </c>
      <c r="E33" s="4" t="s">
        <v>585</v>
      </c>
      <c r="F33" s="4" t="s">
        <v>586</v>
      </c>
      <c r="G33" s="4" t="s">
        <v>585</v>
      </c>
      <c r="H33" s="45" t="s">
        <v>0</v>
      </c>
    </row>
    <row r="34" spans="1:8" x14ac:dyDescent="0.35">
      <c r="A34" s="46" t="s">
        <v>604</v>
      </c>
      <c r="B34" s="47">
        <v>7</v>
      </c>
      <c r="C34" s="48">
        <v>5</v>
      </c>
      <c r="D34" s="47" t="s">
        <v>588</v>
      </c>
      <c r="E34" s="49">
        <v>9</v>
      </c>
      <c r="F34" s="48" t="s">
        <v>588</v>
      </c>
      <c r="G34" s="49">
        <v>9</v>
      </c>
    </row>
    <row r="35" spans="1:8" x14ac:dyDescent="0.35">
      <c r="A35" s="46" t="s">
        <v>605</v>
      </c>
      <c r="B35" s="47">
        <v>8</v>
      </c>
      <c r="C35" s="48">
        <v>6</v>
      </c>
      <c r="D35" s="47" t="s">
        <v>594</v>
      </c>
      <c r="E35" s="49">
        <v>9</v>
      </c>
      <c r="F35" s="50" t="s">
        <v>588</v>
      </c>
      <c r="G35" s="49">
        <v>9</v>
      </c>
    </row>
    <row r="36" spans="1:8" x14ac:dyDescent="0.35">
      <c r="A36" s="62" t="s">
        <v>606</v>
      </c>
      <c r="B36" s="52">
        <v>12</v>
      </c>
      <c r="C36" s="53">
        <v>10</v>
      </c>
      <c r="D36" s="47" t="s">
        <v>594</v>
      </c>
      <c r="E36" s="49">
        <v>16</v>
      </c>
      <c r="F36" s="48" t="s">
        <v>594</v>
      </c>
      <c r="G36" s="49">
        <v>16</v>
      </c>
    </row>
    <row r="37" spans="1:8" x14ac:dyDescent="0.35">
      <c r="A37" s="63"/>
      <c r="B37" s="55"/>
      <c r="C37" s="56"/>
      <c r="D37" s="47" t="s">
        <v>589</v>
      </c>
      <c r="E37" s="49">
        <v>16</v>
      </c>
      <c r="F37" s="48"/>
      <c r="G37" s="49">
        <v>0</v>
      </c>
    </row>
    <row r="38" spans="1:8" ht="15.75" customHeight="1" x14ac:dyDescent="0.35">
      <c r="A38" s="46" t="s">
        <v>607</v>
      </c>
      <c r="B38" s="47">
        <v>8</v>
      </c>
      <c r="C38" s="48">
        <v>6</v>
      </c>
      <c r="D38" s="47" t="s">
        <v>594</v>
      </c>
      <c r="E38" s="49">
        <v>16</v>
      </c>
      <c r="F38" s="50" t="s">
        <v>588</v>
      </c>
      <c r="G38" s="49">
        <v>16</v>
      </c>
    </row>
    <row r="39" spans="1:8" x14ac:dyDescent="0.35">
      <c r="A39" s="64" t="s">
        <v>608</v>
      </c>
      <c r="B39" s="65">
        <v>10</v>
      </c>
      <c r="C39" s="66">
        <v>8</v>
      </c>
      <c r="D39" s="47" t="s">
        <v>594</v>
      </c>
      <c r="E39" s="49">
        <v>7</v>
      </c>
      <c r="F39" s="48" t="s">
        <v>594</v>
      </c>
      <c r="G39" s="49">
        <v>7</v>
      </c>
    </row>
    <row r="40" spans="1:8" x14ac:dyDescent="0.35">
      <c r="A40" s="64" t="s">
        <v>609</v>
      </c>
      <c r="B40" s="65">
        <v>10</v>
      </c>
      <c r="C40" s="66">
        <v>8</v>
      </c>
      <c r="D40" s="47" t="s">
        <v>594</v>
      </c>
      <c r="E40" s="49">
        <v>7</v>
      </c>
      <c r="F40" s="50" t="s">
        <v>594</v>
      </c>
      <c r="G40" s="49">
        <v>7</v>
      </c>
    </row>
    <row r="41" spans="1:8" x14ac:dyDescent="0.35">
      <c r="A41" s="64" t="s">
        <v>610</v>
      </c>
      <c r="B41" s="65">
        <v>6</v>
      </c>
      <c r="C41" s="66">
        <v>4</v>
      </c>
      <c r="D41" s="47" t="s">
        <v>588</v>
      </c>
      <c r="E41" s="49">
        <v>9</v>
      </c>
      <c r="F41" s="48" t="s">
        <v>589</v>
      </c>
      <c r="G41" s="49">
        <v>9</v>
      </c>
    </row>
    <row r="42" spans="1:8" x14ac:dyDescent="0.35">
      <c r="A42" s="64" t="s">
        <v>611</v>
      </c>
      <c r="B42" s="65">
        <v>7</v>
      </c>
      <c r="C42" s="66">
        <v>5</v>
      </c>
      <c r="D42" s="47" t="s">
        <v>588</v>
      </c>
      <c r="E42" s="49">
        <v>9</v>
      </c>
      <c r="F42" s="50" t="s">
        <v>588</v>
      </c>
      <c r="G42" s="49">
        <v>9</v>
      </c>
    </row>
    <row r="43" spans="1:8" x14ac:dyDescent="0.35">
      <c r="A43" s="64" t="s">
        <v>612</v>
      </c>
      <c r="B43" s="65">
        <v>10</v>
      </c>
      <c r="C43" s="66">
        <v>8</v>
      </c>
      <c r="D43" s="47" t="s">
        <v>594</v>
      </c>
      <c r="E43" s="49">
        <v>27</v>
      </c>
      <c r="F43" s="48" t="s">
        <v>594</v>
      </c>
      <c r="G43" s="49">
        <v>27</v>
      </c>
    </row>
    <row r="44" spans="1:8" x14ac:dyDescent="0.35">
      <c r="A44" s="64" t="s">
        <v>613</v>
      </c>
      <c r="B44" s="65">
        <v>10</v>
      </c>
      <c r="C44" s="66">
        <v>8</v>
      </c>
      <c r="D44" s="47" t="s">
        <v>594</v>
      </c>
      <c r="E44" s="49">
        <v>27</v>
      </c>
      <c r="F44" s="50" t="s">
        <v>594</v>
      </c>
      <c r="G44" s="49">
        <v>27</v>
      </c>
    </row>
    <row r="45" spans="1:8" x14ac:dyDescent="0.35">
      <c r="A45" s="64" t="s">
        <v>614</v>
      </c>
      <c r="B45" s="65">
        <v>6</v>
      </c>
      <c r="C45" s="66">
        <v>4</v>
      </c>
      <c r="D45" s="47" t="s">
        <v>588</v>
      </c>
      <c r="E45" s="49">
        <v>27</v>
      </c>
      <c r="F45" s="48" t="s">
        <v>589</v>
      </c>
      <c r="G45" s="49">
        <v>27</v>
      </c>
    </row>
    <row r="46" spans="1:8" x14ac:dyDescent="0.35">
      <c r="A46" s="64" t="s">
        <v>615</v>
      </c>
      <c r="B46" s="65">
        <v>7</v>
      </c>
      <c r="C46" s="66">
        <v>5</v>
      </c>
      <c r="D46" s="47" t="s">
        <v>588</v>
      </c>
      <c r="E46" s="49">
        <v>27</v>
      </c>
      <c r="F46" s="50" t="s">
        <v>588</v>
      </c>
      <c r="G46" s="49">
        <v>27</v>
      </c>
    </row>
    <row r="47" spans="1:8" x14ac:dyDescent="0.35">
      <c r="A47" s="64" t="s">
        <v>616</v>
      </c>
      <c r="B47" s="65">
        <v>9</v>
      </c>
      <c r="C47" s="66">
        <v>7</v>
      </c>
      <c r="D47" s="47" t="s">
        <v>594</v>
      </c>
      <c r="E47" s="49">
        <v>19</v>
      </c>
      <c r="F47" s="48" t="s">
        <v>588</v>
      </c>
      <c r="G47" s="49">
        <v>19</v>
      </c>
    </row>
    <row r="48" spans="1:8" x14ac:dyDescent="0.35">
      <c r="A48" s="64" t="s">
        <v>617</v>
      </c>
      <c r="B48" s="65">
        <v>10</v>
      </c>
      <c r="C48" s="66">
        <v>8</v>
      </c>
      <c r="D48" s="47" t="s">
        <v>594</v>
      </c>
      <c r="E48" s="49">
        <v>19</v>
      </c>
      <c r="F48" s="50" t="s">
        <v>594</v>
      </c>
      <c r="G48" s="49">
        <v>19</v>
      </c>
    </row>
    <row r="49" spans="1:7" x14ac:dyDescent="0.35">
      <c r="A49" s="64" t="s">
        <v>618</v>
      </c>
      <c r="B49" s="65">
        <v>6</v>
      </c>
      <c r="C49" s="66">
        <v>4</v>
      </c>
      <c r="D49" s="47" t="s">
        <v>588</v>
      </c>
      <c r="E49" s="49">
        <v>19</v>
      </c>
      <c r="F49" s="48" t="s">
        <v>589</v>
      </c>
      <c r="G49" s="49">
        <v>19</v>
      </c>
    </row>
    <row r="50" spans="1:7" x14ac:dyDescent="0.35">
      <c r="A50" s="64" t="s">
        <v>619</v>
      </c>
      <c r="B50" s="65">
        <v>7</v>
      </c>
      <c r="C50" s="66">
        <v>5</v>
      </c>
      <c r="D50" s="47" t="s">
        <v>588</v>
      </c>
      <c r="E50" s="49">
        <v>19</v>
      </c>
      <c r="F50" s="50" t="s">
        <v>588</v>
      </c>
      <c r="G50" s="49">
        <v>19</v>
      </c>
    </row>
    <row r="51" spans="1:7" x14ac:dyDescent="0.35">
      <c r="A51" s="51" t="s">
        <v>620</v>
      </c>
      <c r="B51" s="52">
        <v>66</v>
      </c>
      <c r="C51" s="53">
        <v>64</v>
      </c>
      <c r="D51" s="47" t="s">
        <v>594</v>
      </c>
      <c r="E51" s="49">
        <v>8</v>
      </c>
      <c r="F51" s="48" t="s">
        <v>594</v>
      </c>
      <c r="G51" s="49">
        <v>8</v>
      </c>
    </row>
    <row r="52" spans="1:7" x14ac:dyDescent="0.35">
      <c r="A52" s="57"/>
      <c r="B52" s="58"/>
      <c r="C52" s="59"/>
      <c r="D52" s="47" t="s">
        <v>594</v>
      </c>
      <c r="E52" s="49">
        <v>8</v>
      </c>
      <c r="F52" s="48" t="s">
        <v>594</v>
      </c>
      <c r="G52" s="49">
        <v>8</v>
      </c>
    </row>
    <row r="53" spans="1:7" x14ac:dyDescent="0.35">
      <c r="A53" s="57"/>
      <c r="B53" s="58"/>
      <c r="C53" s="59"/>
      <c r="D53" s="47" t="s">
        <v>594</v>
      </c>
      <c r="E53" s="49">
        <v>8</v>
      </c>
      <c r="F53" s="48" t="s">
        <v>594</v>
      </c>
      <c r="G53" s="49">
        <v>8</v>
      </c>
    </row>
    <row r="54" spans="1:7" x14ac:dyDescent="0.35">
      <c r="A54" s="57"/>
      <c r="B54" s="58"/>
      <c r="C54" s="59"/>
      <c r="D54" s="47" t="s">
        <v>594</v>
      </c>
      <c r="E54" s="49">
        <v>8</v>
      </c>
      <c r="F54" s="48" t="s">
        <v>594</v>
      </c>
      <c r="G54" s="49">
        <v>8</v>
      </c>
    </row>
    <row r="55" spans="1:7" x14ac:dyDescent="0.35">
      <c r="A55" s="57"/>
      <c r="B55" s="58"/>
      <c r="C55" s="59"/>
      <c r="D55" s="47" t="s">
        <v>594</v>
      </c>
      <c r="E55" s="49">
        <v>8</v>
      </c>
      <c r="F55" s="48" t="s">
        <v>594</v>
      </c>
      <c r="G55" s="49">
        <v>8</v>
      </c>
    </row>
    <row r="56" spans="1:7" x14ac:dyDescent="0.35">
      <c r="A56" s="57"/>
      <c r="B56" s="58"/>
      <c r="C56" s="59"/>
      <c r="D56" s="47" t="s">
        <v>594</v>
      </c>
      <c r="E56" s="49">
        <v>8</v>
      </c>
      <c r="F56" s="48" t="s">
        <v>594</v>
      </c>
      <c r="G56" s="49">
        <v>8</v>
      </c>
    </row>
    <row r="57" spans="1:7" x14ac:dyDescent="0.35">
      <c r="A57" s="54"/>
      <c r="B57" s="55"/>
      <c r="C57" s="56"/>
      <c r="D57" s="47" t="s">
        <v>594</v>
      </c>
      <c r="E57" s="49">
        <v>8</v>
      </c>
      <c r="F57" s="48" t="s">
        <v>588</v>
      </c>
      <c r="G57" s="49">
        <v>8</v>
      </c>
    </row>
    <row r="58" spans="1:7" x14ac:dyDescent="0.35">
      <c r="A58" s="51" t="s">
        <v>621</v>
      </c>
      <c r="B58" s="52">
        <v>19</v>
      </c>
      <c r="C58" s="53">
        <v>17</v>
      </c>
      <c r="D58" s="47" t="s">
        <v>594</v>
      </c>
      <c r="E58" s="49">
        <v>8</v>
      </c>
      <c r="F58" s="50" t="s">
        <v>594</v>
      </c>
      <c r="G58" s="49">
        <v>8</v>
      </c>
    </row>
    <row r="59" spans="1:7" x14ac:dyDescent="0.35">
      <c r="A59" s="54"/>
      <c r="B59" s="55"/>
      <c r="C59" s="56"/>
      <c r="D59" s="47" t="s">
        <v>594</v>
      </c>
      <c r="E59" s="49">
        <v>8</v>
      </c>
      <c r="F59" s="50" t="s">
        <v>588</v>
      </c>
      <c r="G59" s="49">
        <v>8</v>
      </c>
    </row>
    <row r="60" spans="1:7" x14ac:dyDescent="0.35">
      <c r="A60" s="64" t="s">
        <v>539</v>
      </c>
      <c r="B60" s="65">
        <v>8</v>
      </c>
      <c r="C60" s="66">
        <v>6</v>
      </c>
      <c r="D60" s="47" t="s">
        <v>594</v>
      </c>
      <c r="E60" s="49">
        <v>33</v>
      </c>
      <c r="F60" s="48" t="s">
        <v>588</v>
      </c>
      <c r="G60" s="49">
        <v>33</v>
      </c>
    </row>
    <row r="61" spans="1:7" x14ac:dyDescent="0.35">
      <c r="A61" s="64" t="s">
        <v>622</v>
      </c>
      <c r="B61" s="65">
        <v>8</v>
      </c>
      <c r="C61" s="66">
        <v>6</v>
      </c>
      <c r="D61" s="47" t="s">
        <v>594</v>
      </c>
      <c r="E61" s="49">
        <v>33</v>
      </c>
      <c r="F61" s="50" t="s">
        <v>588</v>
      </c>
      <c r="G61" s="49">
        <v>33</v>
      </c>
    </row>
    <row r="62" spans="1:7" x14ac:dyDescent="0.35">
      <c r="A62" s="51" t="s">
        <v>623</v>
      </c>
      <c r="B62" s="52">
        <v>35</v>
      </c>
      <c r="C62" s="53">
        <v>33</v>
      </c>
      <c r="D62" s="47" t="s">
        <v>594</v>
      </c>
      <c r="E62" s="49">
        <v>9</v>
      </c>
      <c r="F62" s="48" t="s">
        <v>594</v>
      </c>
      <c r="G62" s="49">
        <v>9</v>
      </c>
    </row>
    <row r="63" spans="1:7" x14ac:dyDescent="0.35">
      <c r="A63" s="57"/>
      <c r="B63" s="58"/>
      <c r="C63" s="59"/>
      <c r="D63" s="47" t="s">
        <v>594</v>
      </c>
      <c r="E63" s="49">
        <v>9</v>
      </c>
      <c r="F63" s="48" t="s">
        <v>594</v>
      </c>
      <c r="G63" s="49">
        <v>9</v>
      </c>
    </row>
    <row r="64" spans="1:7" x14ac:dyDescent="0.35">
      <c r="A64" s="57"/>
      <c r="B64" s="58"/>
      <c r="C64" s="59"/>
      <c r="D64" s="47" t="s">
        <v>594</v>
      </c>
      <c r="E64" s="49">
        <v>9</v>
      </c>
      <c r="F64" s="48" t="s">
        <v>594</v>
      </c>
      <c r="G64" s="49">
        <v>9</v>
      </c>
    </row>
    <row r="65" spans="1:7" x14ac:dyDescent="0.35">
      <c r="A65" s="54"/>
      <c r="B65" s="55"/>
      <c r="C65" s="56"/>
      <c r="D65" s="47" t="s">
        <v>588</v>
      </c>
      <c r="E65" s="49">
        <v>9</v>
      </c>
      <c r="F65" s="48" t="s">
        <v>589</v>
      </c>
      <c r="G65" s="49">
        <v>9</v>
      </c>
    </row>
    <row r="66" spans="1:7" x14ac:dyDescent="0.35">
      <c r="A66" s="51" t="s">
        <v>624</v>
      </c>
      <c r="B66" s="52">
        <v>16</v>
      </c>
      <c r="C66" s="53">
        <v>14</v>
      </c>
      <c r="D66" s="47" t="s">
        <v>594</v>
      </c>
      <c r="E66" s="49">
        <v>9</v>
      </c>
      <c r="F66" s="50" t="s">
        <v>594</v>
      </c>
      <c r="G66" s="49">
        <v>9</v>
      </c>
    </row>
    <row r="67" spans="1:7" x14ac:dyDescent="0.35">
      <c r="A67" s="54"/>
      <c r="B67" s="55"/>
      <c r="C67" s="56"/>
      <c r="D67" s="47" t="s">
        <v>588</v>
      </c>
      <c r="E67" s="49">
        <v>9</v>
      </c>
      <c r="F67" s="50" t="s">
        <v>589</v>
      </c>
      <c r="G67" s="49">
        <v>9</v>
      </c>
    </row>
    <row r="68" spans="1:7" x14ac:dyDescent="0.35">
      <c r="A68" s="51" t="s">
        <v>625</v>
      </c>
      <c r="B68" s="52">
        <v>33</v>
      </c>
      <c r="C68" s="53">
        <v>31</v>
      </c>
      <c r="D68" s="47" t="s">
        <v>594</v>
      </c>
      <c r="E68" s="49">
        <v>9</v>
      </c>
      <c r="F68" s="48" t="s">
        <v>594</v>
      </c>
      <c r="G68" s="49">
        <v>9</v>
      </c>
    </row>
    <row r="69" spans="1:7" x14ac:dyDescent="0.35">
      <c r="A69" s="57"/>
      <c r="B69" s="58"/>
      <c r="C69" s="59"/>
      <c r="D69" s="47" t="s">
        <v>594</v>
      </c>
      <c r="E69" s="49">
        <v>9</v>
      </c>
      <c r="F69" s="48" t="s">
        <v>594</v>
      </c>
      <c r="G69" s="49">
        <v>9</v>
      </c>
    </row>
    <row r="70" spans="1:7" x14ac:dyDescent="0.35">
      <c r="A70" s="57"/>
      <c r="B70" s="58"/>
      <c r="C70" s="59"/>
      <c r="D70" s="47" t="s">
        <v>594</v>
      </c>
      <c r="E70" s="49">
        <v>9</v>
      </c>
      <c r="F70" s="48" t="s">
        <v>594</v>
      </c>
      <c r="G70" s="49">
        <v>9</v>
      </c>
    </row>
    <row r="71" spans="1:7" x14ac:dyDescent="0.35">
      <c r="A71" s="54"/>
      <c r="B71" s="55"/>
      <c r="C71" s="56"/>
      <c r="D71" s="47" t="s">
        <v>588</v>
      </c>
      <c r="E71" s="49">
        <v>9</v>
      </c>
      <c r="F71" s="48" t="s">
        <v>589</v>
      </c>
      <c r="G71" s="49">
        <v>9</v>
      </c>
    </row>
    <row r="72" spans="1:7" x14ac:dyDescent="0.35">
      <c r="A72" s="51" t="s">
        <v>626</v>
      </c>
      <c r="B72" s="52">
        <v>14</v>
      </c>
      <c r="C72" s="53">
        <v>12</v>
      </c>
      <c r="D72" s="47" t="s">
        <v>594</v>
      </c>
      <c r="E72" s="49">
        <v>9</v>
      </c>
      <c r="F72" s="50" t="s">
        <v>594</v>
      </c>
      <c r="G72" s="49">
        <v>9</v>
      </c>
    </row>
    <row r="73" spans="1:7" x14ac:dyDescent="0.35">
      <c r="A73" s="54"/>
      <c r="B73" s="55"/>
      <c r="C73" s="56"/>
      <c r="D73" s="47" t="s">
        <v>589</v>
      </c>
      <c r="E73" s="49">
        <v>9</v>
      </c>
      <c r="F73" s="50" t="s">
        <v>589</v>
      </c>
      <c r="G73" s="49">
        <v>9</v>
      </c>
    </row>
    <row r="74" spans="1:7" x14ac:dyDescent="0.35">
      <c r="A74" s="51" t="s">
        <v>627</v>
      </c>
      <c r="B74" s="52">
        <v>43</v>
      </c>
      <c r="C74" s="53">
        <v>41</v>
      </c>
      <c r="D74" s="47" t="s">
        <v>594</v>
      </c>
      <c r="E74" s="49">
        <v>9</v>
      </c>
      <c r="F74" s="48" t="s">
        <v>594</v>
      </c>
      <c r="G74" s="49">
        <v>9</v>
      </c>
    </row>
    <row r="75" spans="1:7" x14ac:dyDescent="0.35">
      <c r="A75" s="57"/>
      <c r="B75" s="58"/>
      <c r="C75" s="59"/>
      <c r="D75" s="47" t="s">
        <v>594</v>
      </c>
      <c r="E75" s="49">
        <v>9</v>
      </c>
      <c r="F75" s="48" t="s">
        <v>594</v>
      </c>
      <c r="G75" s="49">
        <v>9</v>
      </c>
    </row>
    <row r="76" spans="1:7" x14ac:dyDescent="0.35">
      <c r="A76" s="57"/>
      <c r="B76" s="58"/>
      <c r="C76" s="59"/>
      <c r="D76" s="47" t="s">
        <v>594</v>
      </c>
      <c r="E76" s="49">
        <v>9</v>
      </c>
      <c r="F76" s="48" t="s">
        <v>594</v>
      </c>
      <c r="G76" s="49">
        <v>9</v>
      </c>
    </row>
    <row r="77" spans="1:7" x14ac:dyDescent="0.35">
      <c r="A77" s="57"/>
      <c r="B77" s="58"/>
      <c r="C77" s="59"/>
      <c r="D77" s="47" t="s">
        <v>594</v>
      </c>
      <c r="E77" s="49">
        <v>9</v>
      </c>
      <c r="F77" s="48" t="s">
        <v>594</v>
      </c>
      <c r="G77" s="49">
        <v>9</v>
      </c>
    </row>
    <row r="78" spans="1:7" x14ac:dyDescent="0.35">
      <c r="A78" s="54"/>
      <c r="B78" s="55"/>
      <c r="C78" s="56"/>
      <c r="D78" s="47" t="s">
        <v>589</v>
      </c>
      <c r="E78" s="49">
        <v>9</v>
      </c>
      <c r="F78" s="48" t="s">
        <v>589</v>
      </c>
      <c r="G78" s="49">
        <v>9</v>
      </c>
    </row>
    <row r="79" spans="1:7" x14ac:dyDescent="0.35">
      <c r="A79" s="51" t="s">
        <v>628</v>
      </c>
      <c r="B79" s="52">
        <v>37</v>
      </c>
      <c r="C79" s="53">
        <v>35</v>
      </c>
      <c r="D79" s="47" t="s">
        <v>594</v>
      </c>
      <c r="E79" s="49">
        <v>9</v>
      </c>
      <c r="F79" s="50" t="s">
        <v>594</v>
      </c>
      <c r="G79" s="49">
        <v>9</v>
      </c>
    </row>
    <row r="80" spans="1:7" x14ac:dyDescent="0.35">
      <c r="A80" s="57"/>
      <c r="B80" s="58"/>
      <c r="C80" s="59"/>
      <c r="D80" s="47" t="s">
        <v>594</v>
      </c>
      <c r="E80" s="49">
        <v>9</v>
      </c>
      <c r="F80" s="50" t="s">
        <v>594</v>
      </c>
      <c r="G80" s="49">
        <v>9</v>
      </c>
    </row>
    <row r="81" spans="1:7" x14ac:dyDescent="0.35">
      <c r="A81" s="57"/>
      <c r="B81" s="58"/>
      <c r="C81" s="59"/>
      <c r="D81" s="47" t="s">
        <v>594</v>
      </c>
      <c r="E81" s="49">
        <v>9</v>
      </c>
      <c r="F81" s="50" t="s">
        <v>594</v>
      </c>
      <c r="G81" s="49">
        <v>9</v>
      </c>
    </row>
    <row r="82" spans="1:7" x14ac:dyDescent="0.35">
      <c r="A82" s="54"/>
      <c r="B82" s="55"/>
      <c r="C82" s="56"/>
      <c r="D82" s="47" t="s">
        <v>588</v>
      </c>
      <c r="E82" s="49">
        <v>9</v>
      </c>
      <c r="F82" s="50" t="s">
        <v>589</v>
      </c>
      <c r="G82" s="49">
        <v>9</v>
      </c>
    </row>
    <row r="83" spans="1:7" x14ac:dyDescent="0.35">
      <c r="A83" s="51" t="s">
        <v>629</v>
      </c>
      <c r="B83" s="52">
        <v>27</v>
      </c>
      <c r="C83" s="53">
        <v>25</v>
      </c>
      <c r="D83" s="47" t="s">
        <v>594</v>
      </c>
      <c r="E83" s="49">
        <v>9</v>
      </c>
      <c r="F83" s="48" t="s">
        <v>594</v>
      </c>
      <c r="G83" s="49">
        <v>9</v>
      </c>
    </row>
    <row r="84" spans="1:7" x14ac:dyDescent="0.35">
      <c r="A84" s="57"/>
      <c r="B84" s="58"/>
      <c r="C84" s="59"/>
      <c r="D84" s="47" t="s">
        <v>594</v>
      </c>
      <c r="E84" s="49">
        <v>9</v>
      </c>
      <c r="F84" s="48" t="s">
        <v>594</v>
      </c>
      <c r="G84" s="49">
        <v>9</v>
      </c>
    </row>
    <row r="85" spans="1:7" x14ac:dyDescent="0.35">
      <c r="A85" s="54"/>
      <c r="B85" s="55"/>
      <c r="C85" s="56"/>
      <c r="D85" s="47" t="s">
        <v>588</v>
      </c>
      <c r="E85" s="49">
        <v>9</v>
      </c>
      <c r="F85" s="48" t="s">
        <v>588</v>
      </c>
      <c r="G85" s="49">
        <v>9</v>
      </c>
    </row>
    <row r="86" spans="1:7" x14ac:dyDescent="0.35">
      <c r="A86" s="51" t="s">
        <v>630</v>
      </c>
      <c r="B86" s="52">
        <v>25</v>
      </c>
      <c r="C86" s="53">
        <v>23</v>
      </c>
      <c r="D86" s="47" t="s">
        <v>594</v>
      </c>
      <c r="E86" s="49">
        <v>9</v>
      </c>
      <c r="F86" s="50" t="s">
        <v>594</v>
      </c>
      <c r="G86" s="49">
        <v>9</v>
      </c>
    </row>
    <row r="87" spans="1:7" x14ac:dyDescent="0.35">
      <c r="A87" s="57"/>
      <c r="B87" s="58"/>
      <c r="C87" s="59"/>
      <c r="D87" s="47" t="s">
        <v>594</v>
      </c>
      <c r="E87" s="49">
        <v>9</v>
      </c>
      <c r="F87" s="50" t="s">
        <v>594</v>
      </c>
      <c r="G87" s="49">
        <v>9</v>
      </c>
    </row>
    <row r="88" spans="1:7" x14ac:dyDescent="0.35">
      <c r="A88" s="54"/>
      <c r="B88" s="55"/>
      <c r="C88" s="56"/>
      <c r="D88" s="47" t="s">
        <v>588</v>
      </c>
      <c r="E88" s="49">
        <v>9</v>
      </c>
      <c r="F88" s="50" t="s">
        <v>589</v>
      </c>
      <c r="G88" s="49">
        <v>9</v>
      </c>
    </row>
    <row r="89" spans="1:7" x14ac:dyDescent="0.35">
      <c r="A89" s="51" t="s">
        <v>631</v>
      </c>
      <c r="B89" s="52">
        <v>15</v>
      </c>
      <c r="C89" s="53">
        <v>13</v>
      </c>
      <c r="D89" s="47" t="s">
        <v>594</v>
      </c>
      <c r="E89" s="49">
        <v>9</v>
      </c>
      <c r="F89" s="48" t="s">
        <v>594</v>
      </c>
      <c r="G89" s="49">
        <v>9</v>
      </c>
    </row>
    <row r="90" spans="1:7" x14ac:dyDescent="0.35">
      <c r="A90" s="54"/>
      <c r="B90" s="55"/>
      <c r="C90" s="56"/>
      <c r="D90" s="47" t="s">
        <v>588</v>
      </c>
      <c r="E90" s="49">
        <v>9</v>
      </c>
      <c r="F90" s="48" t="s">
        <v>589</v>
      </c>
      <c r="G90" s="49">
        <v>9</v>
      </c>
    </row>
    <row r="91" spans="1:7" x14ac:dyDescent="0.35">
      <c r="A91" s="51" t="s">
        <v>632</v>
      </c>
      <c r="B91" s="52">
        <v>13</v>
      </c>
      <c r="C91" s="53">
        <v>11</v>
      </c>
      <c r="D91" s="47" t="s">
        <v>594</v>
      </c>
      <c r="E91" s="49">
        <v>9</v>
      </c>
      <c r="F91" s="50" t="s">
        <v>594</v>
      </c>
      <c r="G91" s="49">
        <v>9</v>
      </c>
    </row>
    <row r="92" spans="1:7" x14ac:dyDescent="0.35">
      <c r="A92" s="54"/>
      <c r="B92" s="55"/>
      <c r="C92" s="56"/>
      <c r="D92" s="47" t="s">
        <v>589</v>
      </c>
      <c r="E92" s="49">
        <v>9</v>
      </c>
      <c r="F92" s="50" t="s">
        <v>589</v>
      </c>
      <c r="G92" s="49">
        <v>9</v>
      </c>
    </row>
    <row r="94" spans="1:7" x14ac:dyDescent="0.35">
      <c r="G94" s="19" t="s">
        <v>602</v>
      </c>
    </row>
    <row r="95" spans="1:7" x14ac:dyDescent="0.35">
      <c r="D95" s="41" t="s">
        <v>589</v>
      </c>
      <c r="E95" s="49">
        <f>E37+E73+E78+E92+G49+G65+G71+G78+G90+G41</f>
        <v>107</v>
      </c>
      <c r="F95" s="41"/>
      <c r="G95" s="60">
        <f>G67+G73+G82+G88+G92</f>
        <v>45</v>
      </c>
    </row>
    <row r="96" spans="1:7" x14ac:dyDescent="0.35">
      <c r="D96" s="41" t="s">
        <v>588</v>
      </c>
      <c r="E96" s="49">
        <f>E34+G34+E41+E42+E45+E46+G47+E49+E50+E65+E67+E71+E82+E85+E88+E90+G57+G60+G85</f>
        <v>260</v>
      </c>
      <c r="F96" s="61"/>
      <c r="G96" s="60">
        <f>G35+G38+G42+G46+G50+G59+G61</f>
        <v>121</v>
      </c>
    </row>
    <row r="97" spans="1:8" x14ac:dyDescent="0.35">
      <c r="D97" s="41" t="s">
        <v>594</v>
      </c>
      <c r="E97" s="49">
        <f>E35+E36+E38+E39+E40+E43+E44+E47+E48+E51+E52+E53+E54+E55+E56+E57+E58+E59+E60+E61+E62+E63+E64+E66+E68+E69+E70+E72+E74+E75+E76+E77+E79+E80+E81+E83+E84+E86+E87+E89+E91+G36+G39+G43+G51+G52+G53+G54+G55+G56+G62+G63+G64+G68+G69+G70+G74+G75+G76+G77+G83+G84+G89</f>
        <v>689</v>
      </c>
      <c r="F97" s="61"/>
      <c r="G97" s="60">
        <f>G40+G44+G48+G58+G66+G72+G79+G80+G81+G86+G87+G91</f>
        <v>133</v>
      </c>
    </row>
    <row r="99" spans="1:8" x14ac:dyDescent="0.35">
      <c r="A99" s="11" t="s">
        <v>633</v>
      </c>
    </row>
    <row r="100" spans="1:8" x14ac:dyDescent="0.35">
      <c r="A100" s="4" t="s">
        <v>581</v>
      </c>
      <c r="B100" s="4" t="s">
        <v>582</v>
      </c>
      <c r="C100" s="4" t="s">
        <v>583</v>
      </c>
      <c r="D100" s="4" t="s">
        <v>584</v>
      </c>
      <c r="E100" s="4" t="s">
        <v>585</v>
      </c>
      <c r="F100" s="4" t="s">
        <v>586</v>
      </c>
      <c r="G100" s="4" t="s">
        <v>585</v>
      </c>
      <c r="H100" s="45" t="s">
        <v>0</v>
      </c>
    </row>
    <row r="101" spans="1:8" x14ac:dyDescent="0.35">
      <c r="A101" s="67" t="s">
        <v>634</v>
      </c>
      <c r="B101" s="68">
        <v>54</v>
      </c>
      <c r="C101" s="69">
        <v>52</v>
      </c>
      <c r="D101" s="47" t="s">
        <v>594</v>
      </c>
      <c r="E101" s="49">
        <v>10</v>
      </c>
      <c r="F101" s="48" t="s">
        <v>594</v>
      </c>
      <c r="G101" s="49">
        <v>10</v>
      </c>
    </row>
    <row r="102" spans="1:8" x14ac:dyDescent="0.35">
      <c r="A102" s="70"/>
      <c r="B102" s="68"/>
      <c r="C102" s="69"/>
      <c r="D102" s="47" t="s">
        <v>594</v>
      </c>
      <c r="E102" s="49">
        <v>10</v>
      </c>
      <c r="F102" s="48" t="s">
        <v>594</v>
      </c>
      <c r="G102" s="49">
        <v>10</v>
      </c>
    </row>
    <row r="103" spans="1:8" x14ac:dyDescent="0.35">
      <c r="A103" s="70"/>
      <c r="B103" s="68"/>
      <c r="C103" s="69"/>
      <c r="D103" s="47" t="s">
        <v>594</v>
      </c>
      <c r="E103" s="49">
        <v>10</v>
      </c>
      <c r="F103" s="48" t="s">
        <v>594</v>
      </c>
      <c r="G103" s="49">
        <v>10</v>
      </c>
    </row>
    <row r="104" spans="1:8" x14ac:dyDescent="0.35">
      <c r="A104" s="70"/>
      <c r="B104" s="68"/>
      <c r="C104" s="69"/>
      <c r="D104" s="47" t="s">
        <v>594</v>
      </c>
      <c r="E104" s="49">
        <v>10</v>
      </c>
      <c r="F104" s="48" t="s">
        <v>594</v>
      </c>
      <c r="G104" s="49">
        <v>10</v>
      </c>
    </row>
    <row r="105" spans="1:8" x14ac:dyDescent="0.35">
      <c r="A105" s="70"/>
      <c r="B105" s="68"/>
      <c r="C105" s="69"/>
      <c r="D105" s="47" t="s">
        <v>594</v>
      </c>
      <c r="E105" s="49">
        <v>10</v>
      </c>
      <c r="F105" s="48" t="s">
        <v>594</v>
      </c>
      <c r="G105" s="49">
        <v>10</v>
      </c>
    </row>
    <row r="106" spans="1:8" x14ac:dyDescent="0.35">
      <c r="A106" s="67" t="s">
        <v>635</v>
      </c>
      <c r="B106" s="68">
        <v>39</v>
      </c>
      <c r="C106" s="69">
        <v>37</v>
      </c>
      <c r="D106" s="47" t="s">
        <v>594</v>
      </c>
      <c r="E106" s="49">
        <v>10</v>
      </c>
      <c r="F106" s="50" t="s">
        <v>594</v>
      </c>
      <c r="G106" s="49">
        <v>10</v>
      </c>
    </row>
    <row r="107" spans="1:8" x14ac:dyDescent="0.35">
      <c r="A107" s="70"/>
      <c r="B107" s="68"/>
      <c r="C107" s="69"/>
      <c r="D107" s="47" t="s">
        <v>594</v>
      </c>
      <c r="E107" s="49">
        <v>10</v>
      </c>
      <c r="F107" s="50" t="s">
        <v>594</v>
      </c>
      <c r="G107" s="49">
        <v>10</v>
      </c>
    </row>
    <row r="108" spans="1:8" x14ac:dyDescent="0.35">
      <c r="A108" s="70"/>
      <c r="B108" s="68"/>
      <c r="C108" s="69"/>
      <c r="D108" s="47" t="s">
        <v>594</v>
      </c>
      <c r="E108" s="49">
        <v>10</v>
      </c>
      <c r="F108" s="50" t="s">
        <v>594</v>
      </c>
      <c r="G108" s="49">
        <v>10</v>
      </c>
    </row>
    <row r="109" spans="1:8" x14ac:dyDescent="0.35">
      <c r="A109" s="67" t="s">
        <v>636</v>
      </c>
      <c r="B109" s="68">
        <v>54</v>
      </c>
      <c r="C109" s="69">
        <v>52</v>
      </c>
      <c r="D109" s="47" t="s">
        <v>594</v>
      </c>
      <c r="E109" s="49">
        <v>10</v>
      </c>
      <c r="F109" s="48" t="s">
        <v>594</v>
      </c>
      <c r="G109" s="49">
        <v>10</v>
      </c>
    </row>
    <row r="110" spans="1:8" x14ac:dyDescent="0.35">
      <c r="A110" s="70"/>
      <c r="B110" s="68"/>
      <c r="C110" s="69"/>
      <c r="D110" s="47" t="s">
        <v>594</v>
      </c>
      <c r="E110" s="49">
        <v>10</v>
      </c>
      <c r="F110" s="48" t="s">
        <v>594</v>
      </c>
      <c r="G110" s="49">
        <v>10</v>
      </c>
    </row>
    <row r="111" spans="1:8" x14ac:dyDescent="0.35">
      <c r="A111" s="70"/>
      <c r="B111" s="68"/>
      <c r="C111" s="69"/>
      <c r="D111" s="47" t="s">
        <v>594</v>
      </c>
      <c r="E111" s="49">
        <v>10</v>
      </c>
      <c r="F111" s="48" t="s">
        <v>594</v>
      </c>
      <c r="G111" s="49">
        <v>10</v>
      </c>
    </row>
    <row r="112" spans="1:8" x14ac:dyDescent="0.35">
      <c r="A112" s="70"/>
      <c r="B112" s="68"/>
      <c r="C112" s="69"/>
      <c r="D112" s="47" t="s">
        <v>594</v>
      </c>
      <c r="E112" s="49">
        <v>10</v>
      </c>
      <c r="F112" s="48" t="s">
        <v>594</v>
      </c>
      <c r="G112" s="49">
        <v>10</v>
      </c>
    </row>
    <row r="113" spans="1:7" x14ac:dyDescent="0.35">
      <c r="A113" s="70"/>
      <c r="B113" s="68"/>
      <c r="C113" s="69"/>
      <c r="D113" s="47" t="s">
        <v>594</v>
      </c>
      <c r="E113" s="49">
        <v>10</v>
      </c>
      <c r="F113" s="48" t="s">
        <v>594</v>
      </c>
      <c r="G113" s="49">
        <v>10</v>
      </c>
    </row>
    <row r="114" spans="1:7" x14ac:dyDescent="0.35">
      <c r="A114" s="67" t="s">
        <v>637</v>
      </c>
      <c r="B114" s="68">
        <v>32</v>
      </c>
      <c r="C114" s="69">
        <v>30</v>
      </c>
      <c r="D114" s="47" t="s">
        <v>594</v>
      </c>
      <c r="E114" s="49">
        <v>10</v>
      </c>
      <c r="F114" s="50" t="s">
        <v>594</v>
      </c>
      <c r="G114" s="49">
        <v>10</v>
      </c>
    </row>
    <row r="115" spans="1:7" x14ac:dyDescent="0.35">
      <c r="A115" s="70"/>
      <c r="B115" s="68"/>
      <c r="C115" s="69"/>
      <c r="D115" s="47" t="s">
        <v>594</v>
      </c>
      <c r="E115" s="49">
        <v>10</v>
      </c>
      <c r="F115" s="50" t="s">
        <v>594</v>
      </c>
      <c r="G115" s="49">
        <v>10</v>
      </c>
    </row>
    <row r="116" spans="1:7" x14ac:dyDescent="0.35">
      <c r="A116" s="70"/>
      <c r="B116" s="68"/>
      <c r="C116" s="69"/>
      <c r="D116" s="47" t="s">
        <v>594</v>
      </c>
      <c r="E116" s="49">
        <v>10</v>
      </c>
      <c r="F116" s="50" t="s">
        <v>594</v>
      </c>
      <c r="G116" s="49">
        <v>10</v>
      </c>
    </row>
    <row r="117" spans="1:7" x14ac:dyDescent="0.35">
      <c r="A117" s="67" t="s">
        <v>638</v>
      </c>
      <c r="B117" s="68">
        <v>54</v>
      </c>
      <c r="C117" s="69">
        <v>52</v>
      </c>
      <c r="D117" s="47" t="s">
        <v>594</v>
      </c>
      <c r="E117" s="49">
        <v>9</v>
      </c>
      <c r="F117" s="48" t="s">
        <v>594</v>
      </c>
      <c r="G117" s="49">
        <v>9</v>
      </c>
    </row>
    <row r="118" spans="1:7" x14ac:dyDescent="0.35">
      <c r="A118" s="70"/>
      <c r="B118" s="68"/>
      <c r="C118" s="69"/>
      <c r="D118" s="47" t="s">
        <v>594</v>
      </c>
      <c r="E118" s="49">
        <v>9</v>
      </c>
      <c r="F118" s="48" t="s">
        <v>594</v>
      </c>
      <c r="G118" s="49">
        <v>9</v>
      </c>
    </row>
    <row r="119" spans="1:7" x14ac:dyDescent="0.35">
      <c r="A119" s="70"/>
      <c r="B119" s="68"/>
      <c r="C119" s="69"/>
      <c r="D119" s="47" t="s">
        <v>594</v>
      </c>
      <c r="E119" s="49">
        <v>9</v>
      </c>
      <c r="F119" s="48" t="s">
        <v>594</v>
      </c>
      <c r="G119" s="49">
        <v>9</v>
      </c>
    </row>
    <row r="120" spans="1:7" x14ac:dyDescent="0.35">
      <c r="A120" s="70"/>
      <c r="B120" s="68"/>
      <c r="C120" s="69"/>
      <c r="D120" s="47" t="s">
        <v>594</v>
      </c>
      <c r="E120" s="49">
        <v>9</v>
      </c>
      <c r="F120" s="48" t="s">
        <v>594</v>
      </c>
      <c r="G120" s="49">
        <v>9</v>
      </c>
    </row>
    <row r="121" spans="1:7" x14ac:dyDescent="0.35">
      <c r="A121" s="70"/>
      <c r="B121" s="68"/>
      <c r="C121" s="69"/>
      <c r="D121" s="47" t="s">
        <v>594</v>
      </c>
      <c r="E121" s="49">
        <v>9</v>
      </c>
      <c r="F121" s="48" t="s">
        <v>594</v>
      </c>
      <c r="G121" s="49">
        <v>9</v>
      </c>
    </row>
    <row r="122" spans="1:7" x14ac:dyDescent="0.35">
      <c r="A122" s="67" t="s">
        <v>639</v>
      </c>
      <c r="B122" s="68">
        <v>52</v>
      </c>
      <c r="C122" s="69">
        <v>50</v>
      </c>
      <c r="D122" s="47" t="s">
        <v>594</v>
      </c>
      <c r="E122" s="49">
        <v>14</v>
      </c>
      <c r="F122" s="50" t="s">
        <v>594</v>
      </c>
      <c r="G122" s="49">
        <v>14</v>
      </c>
    </row>
    <row r="123" spans="1:7" x14ac:dyDescent="0.35">
      <c r="A123" s="67"/>
      <c r="B123" s="68"/>
      <c r="C123" s="69"/>
      <c r="D123" s="47" t="s">
        <v>594</v>
      </c>
      <c r="E123" s="49">
        <v>14</v>
      </c>
      <c r="F123" s="50" t="s">
        <v>594</v>
      </c>
      <c r="G123" s="49">
        <v>14</v>
      </c>
    </row>
    <row r="124" spans="1:7" x14ac:dyDescent="0.35">
      <c r="A124" s="67"/>
      <c r="B124" s="68"/>
      <c r="C124" s="69"/>
      <c r="D124" s="47" t="s">
        <v>594</v>
      </c>
      <c r="E124" s="49">
        <v>14</v>
      </c>
      <c r="F124" s="50" t="s">
        <v>594</v>
      </c>
      <c r="G124" s="49">
        <v>14</v>
      </c>
    </row>
    <row r="125" spans="1:7" x14ac:dyDescent="0.35">
      <c r="A125" s="70"/>
      <c r="B125" s="68"/>
      <c r="C125" s="69"/>
      <c r="D125" s="47" t="s">
        <v>594</v>
      </c>
      <c r="E125" s="49">
        <v>14</v>
      </c>
      <c r="F125" s="50" t="s">
        <v>594</v>
      </c>
      <c r="G125" s="49">
        <v>14</v>
      </c>
    </row>
    <row r="126" spans="1:7" x14ac:dyDescent="0.35">
      <c r="A126" s="70"/>
      <c r="B126" s="68"/>
      <c r="C126" s="69"/>
      <c r="D126" s="47" t="s">
        <v>594</v>
      </c>
      <c r="E126" s="49">
        <v>14</v>
      </c>
      <c r="F126" s="50" t="s">
        <v>594</v>
      </c>
      <c r="G126" s="49">
        <v>14</v>
      </c>
    </row>
    <row r="127" spans="1:7" x14ac:dyDescent="0.35">
      <c r="A127" s="67" t="s">
        <v>640</v>
      </c>
      <c r="B127" s="68">
        <v>54</v>
      </c>
      <c r="C127" s="69">
        <v>52</v>
      </c>
      <c r="D127" s="47" t="s">
        <v>594</v>
      </c>
      <c r="E127" s="49">
        <v>14</v>
      </c>
      <c r="F127" s="48" t="s">
        <v>594</v>
      </c>
      <c r="G127" s="49">
        <v>14</v>
      </c>
    </row>
    <row r="128" spans="1:7" x14ac:dyDescent="0.35">
      <c r="A128" s="70"/>
      <c r="B128" s="68"/>
      <c r="C128" s="69"/>
      <c r="D128" s="47" t="s">
        <v>594</v>
      </c>
      <c r="E128" s="49">
        <v>14</v>
      </c>
      <c r="F128" s="48" t="s">
        <v>594</v>
      </c>
      <c r="G128" s="49">
        <v>14</v>
      </c>
    </row>
    <row r="129" spans="1:8" x14ac:dyDescent="0.35">
      <c r="A129" s="70"/>
      <c r="B129" s="68"/>
      <c r="C129" s="69"/>
      <c r="D129" s="47" t="s">
        <v>594</v>
      </c>
      <c r="E129" s="49">
        <v>14</v>
      </c>
      <c r="F129" s="48" t="s">
        <v>594</v>
      </c>
      <c r="G129" s="49">
        <v>14</v>
      </c>
    </row>
    <row r="130" spans="1:8" x14ac:dyDescent="0.35">
      <c r="A130" s="70"/>
      <c r="B130" s="68"/>
      <c r="C130" s="69"/>
      <c r="D130" s="47" t="s">
        <v>594</v>
      </c>
      <c r="E130" s="49">
        <v>14</v>
      </c>
      <c r="F130" s="48" t="s">
        <v>594</v>
      </c>
      <c r="G130" s="49">
        <v>14</v>
      </c>
    </row>
    <row r="131" spans="1:8" x14ac:dyDescent="0.35">
      <c r="A131" s="70"/>
      <c r="B131" s="68"/>
      <c r="C131" s="69"/>
      <c r="D131" s="47" t="s">
        <v>594</v>
      </c>
      <c r="E131" s="49">
        <v>14</v>
      </c>
      <c r="F131" s="48" t="s">
        <v>594</v>
      </c>
      <c r="G131" s="49">
        <v>14</v>
      </c>
    </row>
    <row r="132" spans="1:8" x14ac:dyDescent="0.35">
      <c r="A132" s="70"/>
      <c r="B132" s="68"/>
      <c r="C132" s="69"/>
      <c r="D132" s="47" t="s">
        <v>589</v>
      </c>
      <c r="E132" s="49">
        <v>14</v>
      </c>
      <c r="F132" s="48" t="s">
        <v>589</v>
      </c>
      <c r="G132" s="49">
        <v>14</v>
      </c>
    </row>
    <row r="133" spans="1:8" x14ac:dyDescent="0.35">
      <c r="A133" s="71"/>
      <c r="D133" s="2"/>
      <c r="E133" s="2"/>
      <c r="F133" s="2"/>
      <c r="G133" s="2"/>
    </row>
    <row r="134" spans="1:8" x14ac:dyDescent="0.35">
      <c r="G134" s="19" t="s">
        <v>602</v>
      </c>
    </row>
    <row r="135" spans="1:8" x14ac:dyDescent="0.35">
      <c r="D135" s="41" t="s">
        <v>589</v>
      </c>
      <c r="E135" s="49">
        <f>SUM(E132:E132)+G132</f>
        <v>28</v>
      </c>
      <c r="F135" s="41"/>
      <c r="G135" s="60">
        <v>0</v>
      </c>
    </row>
    <row r="136" spans="1:8" x14ac:dyDescent="0.35">
      <c r="D136" s="41" t="s">
        <v>588</v>
      </c>
      <c r="E136" s="49">
        <v>0</v>
      </c>
      <c r="F136" s="61"/>
      <c r="G136" s="60">
        <v>0</v>
      </c>
    </row>
    <row r="137" spans="1:8" x14ac:dyDescent="0.35">
      <c r="D137" s="41" t="s">
        <v>594</v>
      </c>
      <c r="E137" s="49">
        <f>SUM(E101:E131)+G101+G102+G103+G104+G105+G109+G110+G111+G112+G113+G117+G118+G119+G120+G121+G127+G128+G129+G130+G131+G132</f>
        <v>574</v>
      </c>
      <c r="F137" s="61"/>
      <c r="G137" s="60">
        <f>G106+G107+G108+G114+G115+G116+G122+G123+G124+G125+G126</f>
        <v>130</v>
      </c>
    </row>
    <row r="139" spans="1:8" x14ac:dyDescent="0.35">
      <c r="A139" s="11" t="s">
        <v>641</v>
      </c>
    </row>
    <row r="140" spans="1:8" x14ac:dyDescent="0.35">
      <c r="A140" s="4" t="s">
        <v>581</v>
      </c>
      <c r="B140" s="4" t="s">
        <v>582</v>
      </c>
      <c r="C140" s="4" t="s">
        <v>583</v>
      </c>
      <c r="D140" s="4" t="s">
        <v>584</v>
      </c>
      <c r="E140" s="4" t="s">
        <v>585</v>
      </c>
      <c r="F140" s="4" t="s">
        <v>586</v>
      </c>
      <c r="G140" s="4" t="s">
        <v>585</v>
      </c>
      <c r="H140" s="45" t="s">
        <v>0</v>
      </c>
    </row>
    <row r="141" spans="1:8" x14ac:dyDescent="0.35">
      <c r="A141" s="67" t="s">
        <v>642</v>
      </c>
      <c r="B141" s="68">
        <v>47</v>
      </c>
      <c r="C141" s="69">
        <v>45</v>
      </c>
      <c r="D141" s="47" t="s">
        <v>594</v>
      </c>
      <c r="E141" s="49">
        <v>9</v>
      </c>
      <c r="F141" s="48" t="s">
        <v>594</v>
      </c>
      <c r="G141" s="49">
        <v>9</v>
      </c>
    </row>
    <row r="142" spans="1:8" x14ac:dyDescent="0.35">
      <c r="A142" s="70"/>
      <c r="B142" s="68"/>
      <c r="C142" s="69"/>
      <c r="D142" s="47" t="s">
        <v>594</v>
      </c>
      <c r="E142" s="49">
        <v>9</v>
      </c>
      <c r="F142" s="48" t="s">
        <v>594</v>
      </c>
      <c r="G142" s="49">
        <v>9</v>
      </c>
    </row>
    <row r="143" spans="1:8" x14ac:dyDescent="0.35">
      <c r="A143" s="70"/>
      <c r="B143" s="68"/>
      <c r="C143" s="69"/>
      <c r="D143" s="47" t="s">
        <v>594</v>
      </c>
      <c r="E143" s="49">
        <v>9</v>
      </c>
      <c r="F143" s="48" t="s">
        <v>594</v>
      </c>
      <c r="G143" s="49">
        <v>9</v>
      </c>
    </row>
    <row r="144" spans="1:8" x14ac:dyDescent="0.35">
      <c r="A144" s="70"/>
      <c r="B144" s="68"/>
      <c r="C144" s="69"/>
      <c r="D144" s="47" t="s">
        <v>594</v>
      </c>
      <c r="E144" s="49">
        <v>9</v>
      </c>
      <c r="F144" s="48" t="s">
        <v>594</v>
      </c>
      <c r="G144" s="49">
        <v>9</v>
      </c>
    </row>
    <row r="145" spans="1:7" x14ac:dyDescent="0.35">
      <c r="A145" s="67" t="s">
        <v>643</v>
      </c>
      <c r="B145" s="68">
        <v>22</v>
      </c>
      <c r="C145" s="69">
        <v>20</v>
      </c>
      <c r="D145" s="47" t="s">
        <v>594</v>
      </c>
      <c r="E145" s="49">
        <v>9</v>
      </c>
      <c r="F145" s="50" t="s">
        <v>594</v>
      </c>
      <c r="G145" s="49">
        <v>9</v>
      </c>
    </row>
    <row r="146" spans="1:7" x14ac:dyDescent="0.35">
      <c r="A146" s="70"/>
      <c r="B146" s="68"/>
      <c r="C146" s="69"/>
      <c r="D146" s="47" t="s">
        <v>594</v>
      </c>
      <c r="E146" s="49">
        <v>9</v>
      </c>
      <c r="F146" s="50" t="s">
        <v>594</v>
      </c>
      <c r="G146" s="49">
        <v>9</v>
      </c>
    </row>
    <row r="147" spans="1:7" x14ac:dyDescent="0.35">
      <c r="A147" s="67" t="s">
        <v>644</v>
      </c>
      <c r="B147" s="68">
        <v>25</v>
      </c>
      <c r="C147" s="69">
        <v>23</v>
      </c>
      <c r="D147" s="47" t="s">
        <v>594</v>
      </c>
      <c r="E147" s="49">
        <v>9</v>
      </c>
      <c r="F147" s="48" t="s">
        <v>594</v>
      </c>
      <c r="G147" s="49">
        <v>9</v>
      </c>
    </row>
    <row r="148" spans="1:7" x14ac:dyDescent="0.35">
      <c r="A148" s="70"/>
      <c r="B148" s="68"/>
      <c r="C148" s="69"/>
      <c r="D148" s="47" t="s">
        <v>594</v>
      </c>
      <c r="E148" s="49">
        <v>9</v>
      </c>
      <c r="F148" s="48" t="s">
        <v>594</v>
      </c>
      <c r="G148" s="49">
        <v>9</v>
      </c>
    </row>
    <row r="149" spans="1:7" x14ac:dyDescent="0.35">
      <c r="A149" s="70"/>
      <c r="B149" s="68"/>
      <c r="C149" s="69"/>
      <c r="D149" s="47" t="s">
        <v>589</v>
      </c>
      <c r="E149" s="49">
        <v>9</v>
      </c>
      <c r="F149" s="48" t="s">
        <v>589</v>
      </c>
      <c r="G149" s="49">
        <v>9</v>
      </c>
    </row>
    <row r="150" spans="1:7" ht="24" customHeight="1" x14ac:dyDescent="0.35">
      <c r="A150" s="67" t="s">
        <v>645</v>
      </c>
      <c r="B150" s="68">
        <v>15</v>
      </c>
      <c r="C150" s="69">
        <v>13</v>
      </c>
      <c r="D150" s="47" t="s">
        <v>594</v>
      </c>
      <c r="E150" s="49">
        <v>9</v>
      </c>
      <c r="F150" s="50" t="s">
        <v>594</v>
      </c>
      <c r="G150" s="49">
        <v>9</v>
      </c>
    </row>
    <row r="151" spans="1:7" ht="27.75" customHeight="1" x14ac:dyDescent="0.35">
      <c r="A151" s="70"/>
      <c r="B151" s="68"/>
      <c r="C151" s="69"/>
      <c r="D151" s="47" t="s">
        <v>589</v>
      </c>
      <c r="E151" s="49">
        <v>9</v>
      </c>
      <c r="F151" s="50" t="s">
        <v>589</v>
      </c>
      <c r="G151" s="49">
        <v>9</v>
      </c>
    </row>
    <row r="153" spans="1:7" x14ac:dyDescent="0.35">
      <c r="G153" s="19" t="s">
        <v>602</v>
      </c>
    </row>
    <row r="154" spans="1:7" x14ac:dyDescent="0.35">
      <c r="D154" s="41" t="s">
        <v>589</v>
      </c>
      <c r="E154" s="49">
        <f>E149+E151+G149</f>
        <v>27</v>
      </c>
      <c r="F154" s="41"/>
      <c r="G154" s="60">
        <f>G151</f>
        <v>9</v>
      </c>
    </row>
    <row r="155" spans="1:7" x14ac:dyDescent="0.35">
      <c r="D155" s="41" t="s">
        <v>588</v>
      </c>
      <c r="E155" s="49">
        <v>0</v>
      </c>
      <c r="F155" s="61"/>
      <c r="G155" s="60">
        <v>0</v>
      </c>
    </row>
    <row r="156" spans="1:7" x14ac:dyDescent="0.35">
      <c r="D156" s="41" t="s">
        <v>594</v>
      </c>
      <c r="E156" s="49">
        <f>E141+E142+E143+E144+E145+E146+E147+E148+E150+G141+G142+G143+G144+G147+G148</f>
        <v>135</v>
      </c>
      <c r="F156" s="61"/>
      <c r="G156" s="60">
        <f>G145+G146+G150</f>
        <v>27</v>
      </c>
    </row>
    <row r="158" spans="1:7" x14ac:dyDescent="0.35">
      <c r="C158" s="2" t="s">
        <v>646</v>
      </c>
      <c r="D158" s="41" t="s">
        <v>647</v>
      </c>
      <c r="E158" s="41" t="s">
        <v>648</v>
      </c>
      <c r="F158" s="41">
        <f>E28+E95+E135+E154</f>
        <v>454</v>
      </c>
    </row>
    <row r="159" spans="1:7" x14ac:dyDescent="0.35">
      <c r="D159" s="41"/>
      <c r="E159" s="41" t="s">
        <v>649</v>
      </c>
      <c r="F159" s="41">
        <f>E29+E96+E136+E155</f>
        <v>906</v>
      </c>
    </row>
    <row r="160" spans="1:7" x14ac:dyDescent="0.35">
      <c r="D160" s="41"/>
      <c r="E160" s="41" t="s">
        <v>650</v>
      </c>
      <c r="F160" s="41">
        <f>E30+E97+E137+E156</f>
        <v>2380</v>
      </c>
    </row>
    <row r="161" spans="4:6" x14ac:dyDescent="0.35">
      <c r="D161" s="61" t="s">
        <v>651</v>
      </c>
      <c r="E161" s="61" t="s">
        <v>648</v>
      </c>
      <c r="F161" s="61">
        <f>G28+G95+G135+G154</f>
        <v>103</v>
      </c>
    </row>
    <row r="162" spans="4:6" x14ac:dyDescent="0.35">
      <c r="D162" s="61"/>
      <c r="E162" s="61" t="s">
        <v>649</v>
      </c>
      <c r="F162" s="61">
        <f>G29+G96+G136+G155</f>
        <v>288</v>
      </c>
    </row>
    <row r="163" spans="4:6" x14ac:dyDescent="0.35">
      <c r="D163" s="61"/>
      <c r="E163" s="61" t="s">
        <v>650</v>
      </c>
      <c r="F163" s="61">
        <f>G30+G97+G137+G156</f>
        <v>589</v>
      </c>
    </row>
  </sheetData>
  <autoFilter ref="D1:D24" xr:uid="{298CF90D-99A8-4C87-8863-3358754F587C}"/>
  <mergeCells count="96">
    <mergeCell ref="A147:A149"/>
    <mergeCell ref="B147:B149"/>
    <mergeCell ref="C147:C149"/>
    <mergeCell ref="A150:A151"/>
    <mergeCell ref="B150:B151"/>
    <mergeCell ref="C150:C151"/>
    <mergeCell ref="A141:A144"/>
    <mergeCell ref="B141:B144"/>
    <mergeCell ref="C141:C144"/>
    <mergeCell ref="A145:A146"/>
    <mergeCell ref="B145:B146"/>
    <mergeCell ref="C145:C146"/>
    <mergeCell ref="A122:A126"/>
    <mergeCell ref="B122:B126"/>
    <mergeCell ref="C122:C126"/>
    <mergeCell ref="A127:A132"/>
    <mergeCell ref="B127:B132"/>
    <mergeCell ref="C127:C132"/>
    <mergeCell ref="A114:A116"/>
    <mergeCell ref="B114:B116"/>
    <mergeCell ref="C114:C116"/>
    <mergeCell ref="A117:A121"/>
    <mergeCell ref="B117:B121"/>
    <mergeCell ref="C117:C121"/>
    <mergeCell ref="A106:A108"/>
    <mergeCell ref="B106:B108"/>
    <mergeCell ref="C106:C108"/>
    <mergeCell ref="A109:A113"/>
    <mergeCell ref="B109:B113"/>
    <mergeCell ref="C109:C113"/>
    <mergeCell ref="A91:A92"/>
    <mergeCell ref="B91:B92"/>
    <mergeCell ref="C91:C92"/>
    <mergeCell ref="A101:A105"/>
    <mergeCell ref="B101:B105"/>
    <mergeCell ref="C101:C105"/>
    <mergeCell ref="A86:A88"/>
    <mergeCell ref="B86:B88"/>
    <mergeCell ref="C86:C88"/>
    <mergeCell ref="A89:A90"/>
    <mergeCell ref="B89:B90"/>
    <mergeCell ref="C89:C90"/>
    <mergeCell ref="A79:A82"/>
    <mergeCell ref="B79:B82"/>
    <mergeCell ref="C79:C82"/>
    <mergeCell ref="A83:A85"/>
    <mergeCell ref="B83:B85"/>
    <mergeCell ref="C83:C85"/>
    <mergeCell ref="A72:A73"/>
    <mergeCell ref="B72:B73"/>
    <mergeCell ref="C72:C73"/>
    <mergeCell ref="A74:A78"/>
    <mergeCell ref="B74:B78"/>
    <mergeCell ref="C74:C78"/>
    <mergeCell ref="A66:A67"/>
    <mergeCell ref="B66:B67"/>
    <mergeCell ref="C66:C67"/>
    <mergeCell ref="A68:A71"/>
    <mergeCell ref="B68:B71"/>
    <mergeCell ref="C68:C71"/>
    <mergeCell ref="A58:A59"/>
    <mergeCell ref="B58:B59"/>
    <mergeCell ref="C58:C59"/>
    <mergeCell ref="A62:A65"/>
    <mergeCell ref="B62:B65"/>
    <mergeCell ref="C62:C65"/>
    <mergeCell ref="A36:A37"/>
    <mergeCell ref="B36:B37"/>
    <mergeCell ref="C36:C37"/>
    <mergeCell ref="A51:A57"/>
    <mergeCell ref="B51:B57"/>
    <mergeCell ref="C51:C57"/>
    <mergeCell ref="A19:A21"/>
    <mergeCell ref="B19:B21"/>
    <mergeCell ref="C19:C21"/>
    <mergeCell ref="A22:A24"/>
    <mergeCell ref="B22:B24"/>
    <mergeCell ref="C22:C24"/>
    <mergeCell ref="A15:A16"/>
    <mergeCell ref="B15:B16"/>
    <mergeCell ref="C15:C16"/>
    <mergeCell ref="A17:A18"/>
    <mergeCell ref="B17:B18"/>
    <mergeCell ref="C17:C18"/>
    <mergeCell ref="A11:A12"/>
    <mergeCell ref="B11:B12"/>
    <mergeCell ref="C11:C12"/>
    <mergeCell ref="A13:A14"/>
    <mergeCell ref="B13:B14"/>
    <mergeCell ref="C13:C14"/>
    <mergeCell ref="A7:A8"/>
    <mergeCell ref="B7:B8"/>
    <mergeCell ref="C7:C8"/>
    <mergeCell ref="A9:A10"/>
    <mergeCell ref="B9:B10"/>
    <mergeCell ref="C9:C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-1 эт.</vt:lpstr>
      <vt:lpstr>1 эт.</vt:lpstr>
      <vt:lpstr>2 эт.</vt:lpstr>
      <vt:lpstr>3 эт.</vt:lpstr>
      <vt:lpstr>HMI</vt:lpstr>
      <vt:lpstr>ЩО_ЩОА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Чернышов Михаил</dc:creator>
  <cp:lastModifiedBy>Pavel Khvischuk</cp:lastModifiedBy>
  <dcterms:created xsi:type="dcterms:W3CDTF">2026-05-26T07:19:40Z</dcterms:created>
  <dcterms:modified xsi:type="dcterms:W3CDTF">2026-07-29T12:25:35Z</dcterms:modified>
</cp:coreProperties>
</file>